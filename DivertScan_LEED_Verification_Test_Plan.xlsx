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Plan" sheetId="2" state="visible" r:id="rId4"/>
    <sheet name="Dashboard" sheetId="3" state="visible" r:id="rId5"/>
    <sheet name="By Category" sheetId="4" state="visible" r:id="rId6"/>
  </sheets>
  <definedNames>
    <definedName function="false" hidden="false" localSheetId="1" name="_xlnm.Print_Titles" vbProcedure="false">'Test Plan'!$3:$3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<sst xmlns="http://schemas.openxmlformats.org/spreadsheetml/2006/main" count="418" uniqueCount="275">
  <si>
    <t xml:space="preserve">DivertScan</t>
  </si>
  <si>
    <t xml:space="preserve">LEED Verification Test Plan</t>
  </si>
  <si>
    <t xml:space="preserve">Acceptance Tests · Gap Tracker · Pre-Audit Artifact</t>
  </si>
  <si>
    <t xml:space="preserve">PURPOSE</t>
  </si>
  <si>
    <t xml:space="preserve">Verify that DivertScan handles every LEED v4 / v4.1 / v5 source-separation and reporting rule correctly — by running concrete, observable tests.</t>
  </si>
  <si>
    <t xml:space="preserve">AUDIENCE</t>
  </si>
  <si>
    <t xml:space="preserve">Internal: developer + product owner verifying claims match implementation. External: sustainability consultants, GBCI reviewers, GCs evaluating DivertScan for adoption.</t>
  </si>
  <si>
    <t xml:space="preserve">HOW TO USE</t>
  </si>
  <si>
    <t xml:space="preserve">1. Open Test Plan tab.  2. Read each test (Setup → Action → Expected → Pass Criteria).  3. Run the test in your production system.  4. Set Status to Pass / Partial / Fail / Not Built.  5. Note evidence (screenshot path, DB query result, hash) in Evidence column.  6. Dashboard tab auto-summarizes status.</t>
  </si>
  <si>
    <t xml:space="preserve">SOURCES</t>
  </si>
  <si>
    <t xml:space="preserve">LEED v4 BD+C Reference Guide · LEED v4.1 Addenda (Jul 2019, Oct 2018) · LEED v5 BD+C Reference Guide (Apr 2025 Launch Edition) · CAGBC guidance on v4.1 commingled streams · LEEDuser MRc5 guidance for NC v4 and v4.1.</t>
  </si>
  <si>
    <t xml:space="preserve">STATUS DEFINITIONS</t>
  </si>
  <si>
    <t xml:space="preserve">✓ Pass — Test ran successfully; behavior matches expected.  ⚠ Partial — Some of the test passes; documented limitation.  ✗ Fail — Test ran but produced wrong result; bug.  ○ Not Built — Feature not yet implemented; gap.  — Not Tested — Test pending execution.</t>
  </si>
  <si>
    <t xml:space="preserve">CONTACT</t>
  </si>
  <si>
    <t xml:space="preserve">Robert · (214) 507-8899 · hello@divertscan.com · divertscan.com</t>
  </si>
  <si>
    <t xml:space="preserve">DivertScan LEED Verification Test Plan — Run Each Test, Fill Status</t>
  </si>
  <si>
    <t xml:space="preserve">Test ID</t>
  </si>
  <si>
    <t xml:space="preserve">Category</t>
  </si>
  <si>
    <t xml:space="preserve">Claim</t>
  </si>
  <si>
    <t xml:space="preserve">Setup</t>
  </si>
  <si>
    <t xml:space="preserve">Action</t>
  </si>
  <si>
    <t xml:space="preserve">Expected Result</t>
  </si>
  <si>
    <t xml:space="preserve">Pass Criteria</t>
  </si>
  <si>
    <t xml:space="preserve">LEED Versions</t>
  </si>
  <si>
    <t xml:space="preserve">Severity</t>
  </si>
  <si>
    <t xml:space="preserve">Status</t>
  </si>
  <si>
    <t xml:space="preserve">Evidence / Notes</t>
  </si>
  <si>
    <t xml:space="preserve">Verified By</t>
  </si>
  <si>
    <t xml:space="preserve">Date</t>
  </si>
  <si>
    <t xml:space="preserve">T-001</t>
  </si>
  <si>
    <t xml:space="preserve">Material Streams</t>
  </si>
  <si>
    <t xml:space="preserve">Material streams defined by end-market (not just material type)</t>
  </si>
  <si>
    <t xml:space="preserve">1. Create test project "WMP-Audit-2026" with weight unit = tons.
2. Add 2 haulers: "Recycler A" (destination = wood-to-reuse facility), "Recycler B" (destination = wood-to-biofuel facility).
3. Add 3 wood tickets to Hauler A (5T, 4T, 3T) and 3 wood tickets to Hauler B (2T, 2T, 2T).</t>
  </si>
  <si>
    <t xml:space="preserve">Generate MRc5 stream-count report for project.</t>
  </si>
  <si>
    <t xml:space="preserve">Report shows 2 distinct material streams for wood (wood-to-reuse and wood-to-biofuel), not 1 combined "wood" stream.</t>
  </si>
  <si>
    <t xml:space="preserve">Stream count for wood = 2. Stream list shows both destinations separately. Each stream has its own weight total.</t>
  </si>
  <si>
    <t xml:space="preserve">v4, v4.1</t>
  </si>
  <si>
    <t xml:space="preserve">CRITICAL</t>
  </si>
  <si>
    <t xml:space="preserve">—</t>
  </si>
  <si>
    <t xml:space="preserve">T-002</t>
  </si>
  <si>
    <t xml:space="preserve">Source-separated dumpsters auto-counted from ticket origin</t>
  </si>
  <si>
    <t xml:space="preserve">1. Project setup: define 4 dumpster types: concrete, metals, wood, drywall.
2. Log 5 tickets each, one ticket per dumpster type, source-separated (not commingled).</t>
  </si>
  <si>
    <t xml:space="preserve">Generate stream-count report.</t>
  </si>
  <si>
    <t xml:space="preserve">4 source-separated streams counted automatically. No manual stream assignment required.</t>
  </si>
  <si>
    <t xml:space="preserve">Stream count = 4. Each stream shows source-separated origin. All ticket weights captured.</t>
  </si>
  <si>
    <t xml:space="preserve">T-003</t>
  </si>
  <si>
    <t xml:space="preserve">v4 — 4 streams + 75% diversion threshold (2 pts)</t>
  </si>
  <si>
    <t xml:space="preserve">1. Project registered as LEED v4 BD+C.
2. Log tickets totaling: 100T total, 80T diverted, across 4 distinct material streams.</t>
  </si>
  <si>
    <t xml:space="preserve">Generate MRc5 report for v4.</t>
  </si>
  <si>
    <t xml:space="preserve">Report shows 80% diversion ≥ 75% threshold + 4 streams ≥ 4 required = 2 points earned.</t>
  </si>
  <si>
    <t xml:space="preserve">Points column shows "2 pts" with green checkmark. Threshold + stream count both displayed.</t>
  </si>
  <si>
    <t xml:space="preserve">v4</t>
  </si>
  <si>
    <t xml:space="preserve">HIGH</t>
  </si>
  <si>
    <t xml:space="preserve">T-004</t>
  </si>
  <si>
    <t xml:space="preserve">v4.1 — 2-3 streams threshold (simplified)</t>
  </si>
  <si>
    <t xml:space="preserve">1. Project registered as LEED v4.1 BD+C.
2. Log tickets: 100T total, 75T diverted, across 3 streams (1 commingled + 2 source-separated).</t>
  </si>
  <si>
    <t xml:space="preserve">Generate MRc5 report for v4.1.</t>
  </si>
  <si>
    <t xml:space="preserve">Report shows 75% diversion + 3 streams = qualifies for 2 pts under v4.1 Path 1 (commingled + 2 streams) OR equivalent.</t>
  </si>
  <si>
    <t xml:space="preserve">Points column shows correct v4.1 path. Differs from v4 logic.</t>
  </si>
  <si>
    <t xml:space="preserve">v4.1</t>
  </si>
  <si>
    <t xml:space="preserve">T-005</t>
  </si>
  <si>
    <t xml:space="preserve">v5 — material stream count optional but documented</t>
  </si>
  <si>
    <t xml:space="preserve">1. Project registered as LEED v5 BD+C.
2. Log tickets totaling 100T diverted of 200T total.</t>
  </si>
  <si>
    <t xml:space="preserve">Generate v5 MRc5 report.</t>
  </si>
  <si>
    <t xml:space="preserve">Report computes diversion % per v5 rules (no minimum stream count required). Stream breakdown still shown for narrative.</t>
  </si>
  <si>
    <t xml:space="preserve">No stream-count threshold enforced for v5. Streams listed for narrative quality.</t>
  </si>
  <si>
    <t xml:space="preserve">v5</t>
  </si>
  <si>
    <t xml:space="preserve">T-010</t>
  </si>
  <si>
    <t xml:space="preserve">Commingled Recycling</t>
  </si>
  <si>
    <t xml:space="preserve">Commingled = 1 stream rule enforced (no per-material data)</t>
  </si>
  <si>
    <t xml:space="preserve">1. Add hauler "ABC MRF" as commingled facility (no project-specific weighed data).
2. Log 3 tickets to ABC MRF: 5T, 3T, 2T (total 10T).
3. Add a separate source-separated metals ticket: 2T.</t>
  </si>
  <si>
    <t xml:space="preserve">Commingled load counts as 1 stream (not 3). Plus 1 metals stream = 2 streams total.</t>
  </si>
  <si>
    <t xml:space="preserve">Stream count = 2 (commingled + metals). NOT 4. Warning visible: "Commingled facility — project-specific weights recommended for stream credit."</t>
  </si>
  <si>
    <t xml:space="preserve">T-011</t>
  </si>
  <si>
    <t xml:space="preserve">Commingled with project-specific weighed data = multiple streams</t>
  </si>
  <si>
    <t xml:space="preserve">1. Add hauler "XYZ MRF" with project-specific diversion data enabled.
2. Log a commingled ticket of 10T with sort breakdown: 4T concrete, 3T wood, 2T metal, 1T trash (provided by facility, weighed not estimated).</t>
  </si>
  <si>
    <t xml:space="preserve">Commingled load with sorted breakdown counts as 3 diversion streams (concrete, wood, metal). Trash counted as waste.</t>
  </si>
  <si>
    <t xml:space="preserve">Stream count = 3 from this load alone. Each material has its own weight. Trash bucketed as waste, not diversion.</t>
  </si>
  <si>
    <t xml:space="preserve">T-012</t>
  </si>
  <si>
    <t xml:space="preserve">Facility-average diversion rate (regulated authority required)</t>
  </si>
  <si>
    <t xml:space="preserve">1. Add hauler "DEF Recycling" with facility-average diversion rate = 65%, regulator = TCEQ (Texas state authority).
2. Log a commingled ticket: 10T to DEF Recycling.</t>
  </si>
  <si>
    <t xml:space="preserve">Generate report.</t>
  </si>
  <si>
    <t xml:space="preserve">System applies 65% facility-average to the 10T (6.5T diverted, 3.5T waste). Regulator name appears on report.</t>
  </si>
  <si>
    <t xml:space="preserve">Diversion math uses 65%. Report footer shows "Facility-average rate verified by TCEQ".</t>
  </si>
  <si>
    <t xml:space="preserve">T-013</t>
  </si>
  <si>
    <t xml:space="preserve">Visual inspection NOT acceptable — flagged</t>
  </si>
  <si>
    <t xml:space="preserve">1. Add hauler "VisualInspect MRF" with diversion rate source = "visual inspection".</t>
  </si>
  <si>
    <t xml:space="preserve">Try to save the hauler / generate a report using its data.</t>
  </si>
  <si>
    <t xml:space="preserve">System rejects or warns: visual inspection not acceptable for LEED. Must be either project-specific weighed data OR regulated facility-average.</t>
  </si>
  <si>
    <t xml:space="preserve">Save fails with error OR report displays prominent "non-compliant data source" warning.</t>
  </si>
  <si>
    <t xml:space="preserve">T-014</t>
  </si>
  <si>
    <t xml:space="preserve">RCI certification status tracked + expiry monitored</t>
  </si>
  <si>
    <t xml:space="preserve">1. Add hauler with RCI cert # = "RCI-12345", expiry = 90 days from today.
2. Add second hauler with RCI cert expiry = 5 days ago (expired).</t>
  </si>
  <si>
    <t xml:space="preserve">View hauler list and any report referencing these haulers.</t>
  </si>
  <si>
    <t xml:space="preserve">Active hauler shows green RCI badge with expiry date. Expired hauler shows red warning. Reports flag tickets from expired-cert haulers.</t>
  </si>
  <si>
    <t xml:space="preserve">Hauler list shows both badges correctly. Expired-cert tickets appear in pre-submittal review queue.</t>
  </si>
  <si>
    <t xml:space="preserve">v4.1+</t>
  </si>
  <si>
    <t xml:space="preserve">T-020</t>
  </si>
  <si>
    <t xml:space="preserve">Material Exclusions</t>
  </si>
  <si>
    <t xml:space="preserve">ADC counted as waste, not diversion</t>
  </si>
  <si>
    <t xml:space="preserve">1. Log a ticket with material destination tagged as "ADC" (Alternative Daily Cover): 5T.
2. Also log a recycled metals ticket: 5T.</t>
  </si>
  <si>
    <t xml:space="preserve">Generate diversion % calculation.</t>
  </si>
  <si>
    <t xml:space="preserve">ADC 5T appears in "Total Waste Generated" but NOT in "Diverted". Metals 5T appears in both. Diversion = 5T/10T = 50%.</t>
  </si>
  <si>
    <t xml:space="preserve">Diversion math shows ADC explicitly excluded. Audit log shows the exclusion event with reason.</t>
  </si>
  <si>
    <t xml:space="preserve">All versions</t>
  </si>
  <si>
    <t xml:space="preserve">T-021</t>
  </si>
  <si>
    <t xml:space="preserve">Wood-to-biofuel counted as diversion</t>
  </si>
  <si>
    <t xml:space="preserve">1. Log a wood ticket with destination tagged as "wood-to-biofuel": 5T.</t>
  </si>
  <si>
    <t xml:space="preserve">Generate diversion calculation.</t>
  </si>
  <si>
    <t xml:space="preserve">The 5T wood counts as diversion (per LEED rules — wood-to-fuel is the one waste-to-energy path that counts).</t>
  </si>
  <si>
    <t xml:space="preserve">5T appears in "Diverted" total. Report narrative explains the wood-to-fuel exception.</t>
  </si>
  <si>
    <t xml:space="preserve">T-022</t>
  </si>
  <si>
    <t xml:space="preserve">Non-wood waste-to-energy NOT counted as diversion</t>
  </si>
  <si>
    <t xml:space="preserve">1. Log a ticket with destination = "waste-to-energy / not wood": 5T.</t>
  </si>
  <si>
    <t xml:space="preserve">Generate calculation.</t>
  </si>
  <si>
    <t xml:space="preserve">The 5T counted as waste, NOT diversion (per LEED rules — only wood-to-biofuel qualifies as diversion among WTE paths).</t>
  </si>
  <si>
    <t xml:space="preserve">5T in "Waste" total. Report narrative explains WTE exclusion.</t>
  </si>
  <si>
    <t xml:space="preserve">T-023</t>
  </si>
  <si>
    <t xml:space="preserve">Excavated soil + land-clearing debris auto-excluded</t>
  </si>
  <si>
    <t xml:space="preserve">1. Log a ticket with material tag = "excavated soil": 50T.
2. Log a ticket with material tag = "land-clearing debris": 30T.
3. Log normal C&amp;D tickets: 100T total, 75T diverted.</t>
  </si>
  <si>
    <t xml:space="preserve">Total Waste Generated = 100T (NOT 180T). The 50T soil + 30T land-clearing excluded from both numerator and denominator.</t>
  </si>
  <si>
    <t xml:space="preserve">Math uses 100T base, NOT 180T. Excluded materials shown in separate "excluded from calculation" section.</t>
  </si>
  <si>
    <t xml:space="preserve">T-024</t>
  </si>
  <si>
    <t xml:space="preserve">Hazardous materials excluded</t>
  </si>
  <si>
    <t xml:space="preserve">1. Log a ticket tagged "hazardous (asbestos)": 2T.
2. Log normal tickets: 100T, 75T diverted.</t>
  </si>
  <si>
    <t xml:space="preserve">Hazardous 2T excluded from both numerator and denominator. Diversion = 75/100 = 75% (not 75/102).</t>
  </si>
  <si>
    <t xml:space="preserve">Hazardous shown in separate excluded section. Calc base = 100T.</t>
  </si>
  <si>
    <t xml:space="preserve">T-025</t>
  </si>
  <si>
    <t xml:space="preserve">On-site reused materials excluded</t>
  </si>
  <si>
    <t xml:space="preserve">1. Log a "reused on-site" ticket: 8T concrete reused for fill on site.</t>
  </si>
  <si>
    <t xml:space="preserve">On-site reuse excluded from generation numbers per LEED rules. Captured in narrative as a source-reduction achievement.</t>
  </si>
  <si>
    <t xml:space="preserve">Diversion % calc does not include the 8T. Source-reduction narrative mentions the 8T separately.</t>
  </si>
  <si>
    <t xml:space="preserve">MEDIUM</t>
  </si>
  <si>
    <t xml:space="preserve">T-030</t>
  </si>
  <si>
    <t xml:space="preserve">Phase Tracking</t>
  </si>
  <si>
    <t xml:space="preserve">Demolition tracked separately from construction</t>
  </si>
  <si>
    <t xml:space="preserve">1. Tag tickets with project phase: 5 demolition tickets (50T total, 35T diverted) and 5 construction tickets (60T total, 50T diverted).</t>
  </si>
  <si>
    <t xml:space="preserve">Report shows demolition totals AND construction totals as separate sections, AND combined total. v4.1 Option 2 path uses construction-only.</t>
  </si>
  <si>
    <t xml:space="preserve">Three columns/sections: Demolition (50T/35T), Construction (60T/50T), Combined (110T/85T).</t>
  </si>
  <si>
    <t xml:space="preserve">v4.1, v5</t>
  </si>
  <si>
    <t xml:space="preserve">T-031</t>
  </si>
  <si>
    <t xml:space="preserve">Phase tag enforced on every ticket</t>
  </si>
  <si>
    <t xml:space="preserve">1. Try to create a ticket without selecting a phase.</t>
  </si>
  <si>
    <t xml:space="preserve">Attempt to save.</t>
  </si>
  <si>
    <t xml:space="preserve">Save blocked or ticket flagged for review until phase set. Phase defaults to project-current-phase if configured.</t>
  </si>
  <si>
    <t xml:space="preserve">Cannot save without phase, OR ticket appears in review queue with phase missing.</t>
  </si>
  <si>
    <t xml:space="preserve">T-040</t>
  </si>
  <si>
    <t xml:space="preserve">Units (weight or volume)</t>
  </si>
  <si>
    <t xml:space="preserve">Unit locked at project setup</t>
  </si>
  <si>
    <t xml:space="preserve">1. Create project with unit = tons.
2. Try to import a ticket with weight in cubic yards.</t>
  </si>
  <si>
    <t xml:space="preserve">Attempt the import.</t>
  </si>
  <si>
    <t xml:space="preserve">Import rejected or flagged. System enforces consistency.</t>
  </si>
  <si>
    <t xml:space="preserve">Either: import blocked with clear error, OR ticket added to review queue with unit mismatch warning.</t>
  </si>
  <si>
    <t xml:space="preserve">T-041</t>
  </si>
  <si>
    <t xml:space="preserve">Mixed-unit reports refuse to generate</t>
  </si>
  <si>
    <t xml:space="preserve">1. Force-mix units in test project (developer override).
2. Try to generate a LEED report.</t>
  </si>
  <si>
    <t xml:space="preserve">Report generation blocked. Error explains: "Mixed units detected — LEED requires consistency throughout project."</t>
  </si>
  <si>
    <t xml:space="preserve">Generate button disabled or error message shown. Audit log records the prevented action.</t>
  </si>
  <si>
    <t xml:space="preserve">T-050</t>
  </si>
  <si>
    <t xml:space="preserve">Thresholds</t>
  </si>
  <si>
    <t xml:space="preserve">v4.1 Path 2 — 7.5 lbs/sf (BD+C) threshold</t>
  </si>
  <si>
    <t xml:space="preserve">1. Project: LEED v4.1 BD+C, certified floor area = 50,000 sf.
2. Log total construction waste = 350,000 lb (7.0 lbs/sf, under threshold).</t>
  </si>
  <si>
    <t xml:space="preserve">Generate v4.1 Path 2 report.</t>
  </si>
  <si>
    <t xml:space="preserve">Report shows 7.0 lbs/sf &lt; 7.5 lbs/sf threshold = qualifies for points. Real-time waste density on dashboard.</t>
  </si>
  <si>
    <t xml:space="preserve">Points qualified. Dashboard shows live density tracking.</t>
  </si>
  <si>
    <t xml:space="preserve">T-051</t>
  </si>
  <si>
    <t xml:space="preserve">v4.1 Path 2 — 2.5 lbs/sf (C&amp;S) threshold</t>
  </si>
  <si>
    <t xml:space="preserve">1. Project: LEED v4.1 ID+C (Core &amp; Shell), floor area = 30,000 sf.
2. Log construction waste = 70,000 lb (2.33 lbs/sf).</t>
  </si>
  <si>
    <t xml:space="preserve">Generate v4.1 Path 2 report for C&amp;S.</t>
  </si>
  <si>
    <t xml:space="preserve">Report shows 2.33 lbs/sf &lt; 2.5 lbs/sf C&amp;S threshold = qualifies for points.</t>
  </si>
  <si>
    <t xml:space="preserve">Correct C&amp;S threshold applied (2.5 not 7.5).</t>
  </si>
  <si>
    <t xml:space="preserve">T-060</t>
  </si>
  <si>
    <t xml:space="preserve">WMP (v4 MRp2)</t>
  </si>
  <si>
    <t xml:space="preserve">WMP auto-generated from project setup</t>
  </si>
  <si>
    <t xml:space="preserve">1. Set up new v4 BD+C project with: diversion goal 75%, 4 target streams, list of haulers, list of recycling facilities, data collection cadence.</t>
  </si>
  <si>
    <t xml:space="preserve">Click "Generate WMP" before construction starts.</t>
  </si>
  <si>
    <t xml:space="preserve">Produces submittal-ready PDF with all LEED v4 WMP required sections.</t>
  </si>
  <si>
    <t xml:space="preserve">PDF contains: waste prevention strategies, diversion goals, identified streams (≥4), hauler list with facilities, expected diversion rates per material, reporting procedures.</t>
  </si>
  <si>
    <t xml:space="preserve">T-061</t>
  </si>
  <si>
    <t xml:space="preserve">WMP signed off before construction starts</t>
  </si>
  <si>
    <t xml:space="preserve">1. Try to log first scale ticket on a project where WMP has not been signed off.</t>
  </si>
  <si>
    <t xml:space="preserve">Attempt to log ticket.</t>
  </si>
  <si>
    <t xml:space="preserve">Warning shown: "WMP not finalized — log ticket anyway?". Audit log captures the override if user proceeds.</t>
  </si>
  <si>
    <t xml:space="preserve">Warning visible. Override captured in audit log.</t>
  </si>
  <si>
    <t xml:space="preserve">T-062</t>
  </si>
  <si>
    <t xml:space="preserve">WMP (v5 MRp1)</t>
  </si>
  <si>
    <t xml:space="preserve">v5 Zero-Waste Operations Plan auto-generated</t>
  </si>
  <si>
    <t xml:space="preserve">1. Set up new v5 BD+C project. Configure haulers, material flows, and zero-waste targets.</t>
  </si>
  <si>
    <t xml:space="preserve">Generate MRp1 plan.</t>
  </si>
  <si>
    <t xml:space="preserve">PDF assembled with v5-specific zero-waste operations content (different from v4 WMP).</t>
  </si>
  <si>
    <t xml:space="preserve">PDF references "Planning for Zero Waste Operations" (MRp1 language), not v4 "C&amp;D Waste Management Planning".</t>
  </si>
  <si>
    <t xml:space="preserve">T-070</t>
  </si>
  <si>
    <t xml:space="preserve">Embodied Carbon (v5 MRp2)</t>
  </si>
  <si>
    <t xml:space="preserve">CO₂e calculated per material stream with documented emission factors</t>
  </si>
  <si>
    <t xml:space="preserve">1. Project: LEED v5 BD+C.
2. Log: 100T concrete (factor ~0.103 tCO2e/T), 20T steel (factor ~1.85 tCO2e/T), 10T wood (factor ~0.040 tCO2e/T).</t>
  </si>
  <si>
    <t xml:space="preserve">Generate v5 MRp2 embodied-carbon report.</t>
  </si>
  <si>
    <t xml:space="preserve">Per-material CO₂e shown with the emission factor next to each calc. Total = sum of weighted factors.</t>
  </si>
  <si>
    <t xml:space="preserve">Each row shows: material × tons × emission factor = CO₂e tons. Source for factor cited (e.g., "EPA WARM 2024", "Athena IE").</t>
  </si>
  <si>
    <t xml:space="preserve">T-071</t>
  </si>
  <si>
    <t xml:space="preserve">Emission factors editable for jurisdiction overrides</t>
  </si>
  <si>
    <t xml:space="preserve">1. Go to project settings → emission factors.</t>
  </si>
  <si>
    <t xml:space="preserve">Edit factor for "concrete" from 0.103 to a custom regional value, save, regenerate report.</t>
  </si>
  <si>
    <t xml:space="preserve">Custom factor applied. Audit log captures the change with timestamp and user.</t>
  </si>
  <si>
    <t xml:space="preserve">Report uses new factor. Audit log entry visible.</t>
  </si>
  <si>
    <t xml:space="preserve">T-080</t>
  </si>
  <si>
    <t xml:space="preserve">Facility Records</t>
  </si>
  <si>
    <t xml:space="preserve">Facility regulatory authority tracked</t>
  </si>
  <si>
    <t xml:space="preserve">1. Open any hauler/facility record.</t>
  </si>
  <si>
    <t xml:space="preserve">View the record schema.</t>
  </si>
  <si>
    <t xml:space="preserve">Fields visible: regulatory authority (free text or dropdown for state/local agency), facility type (single-stream / commingled MRF / landfill / WTE / reuse), RCI cert # + expiry, certifying body.</t>
  </si>
  <si>
    <t xml:space="preserve">All five fields present and editable. Required-field validation in place.</t>
  </si>
  <si>
    <t xml:space="preserve">T-081</t>
  </si>
  <si>
    <t xml:space="preserve">Pre-submittal review surfaces facility issues</t>
  </si>
  <si>
    <t xml:space="preserve">1. On a project ready for submittal, ensure at least one ticket from a facility with expired RCI cert or missing regulatory authority.</t>
  </si>
  <si>
    <t xml:space="preserve">Open pre-submittal review.</t>
  </si>
  <si>
    <t xml:space="preserve">Issues surfaced before user can hit "Generate LEED submittal". Each issue shows hauler, problem, recommendation.</t>
  </si>
  <si>
    <t xml:space="preserve">Issue list visible. Submittal blocked or warning required before proceeding.</t>
  </si>
  <si>
    <t xml:space="preserve">T-090</t>
  </si>
  <si>
    <t xml:space="preserve">Reporting</t>
  </si>
  <si>
    <t xml:space="preserve">Monthly diversion report auto-emailed</t>
  </si>
  <si>
    <t xml:space="preserve">1. Set up project with email recipients (GC, owner, consultant).</t>
  </si>
  <si>
    <t xml:space="preserve">Wait for next monthly trigger (or manually trigger via admin).</t>
  </si>
  <si>
    <t xml:space="preserve">Email sent to all recipients on cadence. PDF attached with diversion%, stream count, MTD totals.</t>
  </si>
  <si>
    <t xml:space="preserve">Email arrives. PDF opens and contains required sections.</t>
  </si>
  <si>
    <t xml:space="preserve">T-091</t>
  </si>
  <si>
    <t xml:space="preserve">Final waste management report — complete LEED narrative</t>
  </si>
  <si>
    <t xml:space="preserve">1. Complete project (mark as ready for submittal).</t>
  </si>
  <si>
    <t xml:space="preserve">Click "Generate Final Report" → "MRc5 Submittal Package".</t>
  </si>
  <si>
    <t xml:space="preserve">PDF includes: total waste, diversion rate, full stream list with end markets, hauler list with regulatory status, narrative explaining diversion strategy, SHA-256 hash manifest. XLSX export for raw data.</t>
  </si>
  <si>
    <t xml:space="preserve">All sections present and complete. Ready to upload to LEED Online.</t>
  </si>
  <si>
    <t xml:space="preserve">T-092</t>
  </si>
  <si>
    <t xml:space="preserve">SHA-256 hash manifest re-derivable from source data</t>
  </si>
  <si>
    <t xml:space="preserve">1. Open the final report's hash manifest.</t>
  </si>
  <si>
    <t xml:space="preserve">Take any 3 hashes. Independently re-compute SHA-256 from the source data (ticket # + weight + timestamp + hauler).</t>
  </si>
  <si>
    <t xml:space="preserve">Each of the 3 hashes matches the manifest exactly.</t>
  </si>
  <si>
    <t xml:space="preserve">3/3 matches. Reviewer can re-derive from documented hash inputs.</t>
  </si>
  <si>
    <t xml:space="preserve">T-100</t>
  </si>
  <si>
    <t xml:space="preserve">Audit Trail</t>
  </si>
  <si>
    <t xml:space="preserve">Every record signed by named human verifier</t>
  </si>
  <si>
    <t xml:space="preserve">1. Look at any "Verified" ticket in the system.</t>
  </si>
  <si>
    <t xml:space="preserve">Open the ticket detail.</t>
  </si>
  <si>
    <t xml:space="preserve">Ticket shows: verifier name, verifier timestamp, "verified" status, edit history.</t>
  </si>
  <si>
    <t xml:space="preserve">Verifier name visible on every Verified ticket. No anonymous verifications.</t>
  </si>
  <si>
    <t xml:space="preserve">T-101</t>
  </si>
  <si>
    <t xml:space="preserve">No AI-only path to Verified status</t>
  </si>
  <si>
    <t xml:space="preserve">1. Create a ticket via AI/OCR.
2. Try to mark as "Verified" without a human approval step.</t>
  </si>
  <si>
    <t xml:space="preserve">Attempt programmatic / API-level mark-as-verified.</t>
  </si>
  <si>
    <t xml:space="preserve">System blocks the transition. "Verified" status requires a human user ID and timestamp.</t>
  </si>
  <si>
    <t xml:space="preserve">API returns error. UI button disabled until reviewer clicks Approve.</t>
  </si>
  <si>
    <t xml:space="preserve">T-102</t>
  </si>
  <si>
    <t xml:space="preserve">Edits create new records, never overwrite</t>
  </si>
  <si>
    <t xml:space="preserve">1. Edit any committed ticket (e.g., change weight from 5.12T to 5.18T).</t>
  </si>
  <si>
    <t xml:space="preserve">View ticket history.</t>
  </si>
  <si>
    <t xml:space="preserve">Edit shows as a new audit log entry with: old value, new value, editor, timestamp, reason. Original preserved with its hash.</t>
  </si>
  <si>
    <t xml:space="preserve">Audit log entry has all 5 fields. Original hash matches original input data.</t>
  </si>
  <si>
    <t xml:space="preserve">DivertScan LEED Verification — Status Dashboard</t>
  </si>
  <si>
    <t xml:space="preserve">Auto-updates from "Test Plan" tab. Refresh formulas if values look stale.</t>
  </si>
  <si>
    <t xml:space="preserve">OVERALL STATUS</t>
  </si>
  <si>
    <t xml:space="preserve">✓ Pass</t>
  </si>
  <si>
    <t xml:space="preserve">⚠ Partial</t>
  </si>
  <si>
    <t xml:space="preserve">✗ Fail</t>
  </si>
  <si>
    <t xml:space="preserve">○ Not Built</t>
  </si>
  <si>
    <t xml:space="preserve">— Not Tested</t>
  </si>
  <si>
    <t xml:space="preserve">TOTAL TESTS</t>
  </si>
  <si>
    <t xml:space="preserve">% Tests Passing</t>
  </si>
  <si>
    <t xml:space="preserve">BY SEVERITY</t>
  </si>
  <si>
    <t xml:space="preserve">Total</t>
  </si>
  <si>
    <t xml:space="preserve">Pass</t>
  </si>
  <si>
    <t xml:space="preserve">Open Gaps</t>
  </si>
  <si>
    <t xml:space="preserve">SUBMITTAL READINESS</t>
  </si>
  <si>
    <t xml:space="preserve">Status By LEED Requirement Category</t>
  </si>
  <si>
    <t xml:space="preserve">Partial</t>
  </si>
  <si>
    <t xml:space="preserve">Fail</t>
  </si>
  <si>
    <t xml:space="preserve">Not Built</t>
  </si>
  <si>
    <t xml:space="preserve">% Pass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</si>
</sst>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E6B43"/>
      <name val="Arial"/>
      <family val="0"/>
      <charset val="1"/>
    </font>
    <font>
      <sz val="22"/>
      <color rgb="FF1A1F1C"/>
      <name val="Arial"/>
      <family val="0"/>
      <charset val="1"/>
    </font>
    <font>
      <i val="true"/>
      <sz val="11"/>
      <color rgb="FF5C6B62"/>
      <name val="Arial"/>
      <family val="0"/>
      <charset val="1"/>
    </font>
    <font>
      <b val="true"/>
      <sz val="11"/>
      <color rgb="FF0E6B43"/>
      <name val="Arial"/>
      <family val="0"/>
      <charset val="1"/>
    </font>
    <font>
      <sz val="10"/>
      <color rgb="FF1A1F1C"/>
      <name val="Arial"/>
      <family val="0"/>
      <charset val="1"/>
    </font>
    <font>
      <b val="true"/>
      <sz val="10"/>
      <color rgb="FF1A1F1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1A1F1C"/>
      <name val="Consolas"/>
      <family val="0"/>
      <charset val="1"/>
    </font>
    <font>
      <b val="true"/>
      <sz val="18"/>
      <color rgb="FF0E6B43"/>
      <name val="Arial"/>
      <family val="0"/>
      <charset val="1"/>
    </font>
    <font>
      <i val="true"/>
      <sz val="9"/>
      <color rgb="FF5C6B62"/>
      <name val="Arial"/>
      <family val="0"/>
      <charset val="1"/>
    </font>
    <font>
      <b val="true"/>
      <sz val="14"/>
      <color rgb="FF0E6B43"/>
      <name val="Arial"/>
      <family val="0"/>
      <charset val="1"/>
    </font>
    <font>
      <b val="true"/>
      <sz val="11"/>
      <color rgb="FF8A5A00"/>
      <name val="Arial"/>
      <family val="0"/>
      <charset val="1"/>
    </font>
    <font>
      <b val="true"/>
      <sz val="14"/>
      <color rgb="FF8A5A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b val="true"/>
      <sz val="14"/>
      <color rgb="FF8B0000"/>
      <name val="Arial"/>
      <family val="0"/>
      <charset val="1"/>
    </font>
    <font>
      <b val="true"/>
      <sz val="11"/>
      <color rgb="FF5C6B62"/>
      <name val="Arial"/>
      <family val="0"/>
      <charset val="1"/>
    </font>
    <font>
      <b val="true"/>
      <sz val="14"/>
      <color rgb="FF5C6B62"/>
      <name val="Arial"/>
      <family val="0"/>
      <charset val="1"/>
    </font>
    <font>
      <b val="true"/>
      <sz val="12"/>
      <color rgb="FF0E6B43"/>
      <name val="Arial"/>
      <family val="0"/>
      <charset val="1"/>
    </font>
    <font>
      <b val="true"/>
      <sz val="11"/>
      <color rgb="FF6666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6"/>
      <color rgb="FF0E6B4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6B43"/>
        <bgColor rgb="FF008080"/>
      </patternFill>
    </fill>
    <fill>
      <patternFill patternType="solid">
        <fgColor rgb="FFD7F0DE"/>
        <bgColor rgb="FFD6F0DC"/>
      </patternFill>
    </fill>
    <fill>
      <patternFill patternType="solid">
        <fgColor rgb="FFFCD9D5"/>
        <bgColor rgb="FFFAD9D5"/>
      </patternFill>
    </fill>
    <fill>
      <patternFill patternType="solid">
        <fgColor rgb="FFEAF7EF"/>
        <bgColor rgb="FFEEEEEE"/>
      </patternFill>
    </fill>
    <fill>
      <patternFill patternType="solid">
        <fgColor rgb="FFFFE9C2"/>
        <bgColor rgb="FFFFF1D6"/>
      </patternFill>
    </fill>
    <fill>
      <patternFill patternType="solid">
        <fgColor rgb="FFFFF7C2"/>
        <bgColor rgb="FFFFF1D6"/>
      </patternFill>
    </fill>
    <fill>
      <patternFill patternType="solid">
        <fgColor rgb="FFD6F0DC"/>
        <bgColor rgb="FFD7F0DE"/>
      </patternFill>
    </fill>
    <fill>
      <patternFill patternType="solid">
        <fgColor rgb="FFFFF1D6"/>
        <bgColor rgb="FFFFF7C2"/>
      </patternFill>
    </fill>
    <fill>
      <patternFill patternType="solid">
        <fgColor rgb="FFFAD9D5"/>
        <bgColor rgb="FFFCD9D5"/>
      </patternFill>
    </fill>
    <fill>
      <patternFill patternType="solid">
        <fgColor rgb="FFEEEEEE"/>
        <bgColor rgb="FFEAF7EF"/>
      </patternFill>
    </fill>
    <fill>
      <patternFill patternType="solid">
        <fgColor rgb="FFFFFFFF"/>
        <bgColor rgb="FFEAF7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3CD"/>
      </left>
      <right style="thin">
        <color rgb="FFCCD3CD"/>
      </right>
      <top style="thin">
        <color rgb="FFCCD3CD"/>
      </top>
      <bottom style="thin">
        <color rgb="FFCC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E6B43"/>
        <sz val="10"/>
      </font>
      <fill>
        <patternFill>
          <bgColor rgb="FFD6F0DC"/>
        </patternFill>
      </fill>
    </dxf>
    <dxf>
      <font>
        <name val="Arial"/>
        <charset val="1"/>
        <family val="0"/>
        <b val="1"/>
        <color rgb="FF8A5A00"/>
        <sz val="10"/>
      </font>
      <fill>
        <patternFill>
          <bgColor rgb="FFFFF1D6"/>
        </patternFill>
      </fill>
    </dxf>
    <dxf>
      <font>
        <name val="Arial"/>
        <charset val="1"/>
        <family val="0"/>
        <b val="1"/>
        <color rgb="FF8B0000"/>
        <sz val="10"/>
      </font>
      <fill>
        <patternFill>
          <bgColor rgb="FFFAD9D5"/>
        </patternFill>
      </fill>
    </dxf>
    <dxf>
      <font>
        <name val="Arial"/>
        <charset val="1"/>
        <family val="0"/>
        <color rgb="FF5C6B62"/>
        <sz val="10"/>
      </font>
      <fill>
        <patternFill>
          <bgColor rgb="FFEEEEEE"/>
        </patternFill>
      </fill>
    </dxf>
    <dxf>
      <fill>
        <patternFill>
          <bgColor rgb="FFD6F0DC"/>
        </patternFill>
      </fill>
    </dxf>
    <dxf>
      <fill>
        <patternFill>
          <bgColor rgb="FFFFF1D6"/>
        </patternFill>
      </fill>
    </dxf>
    <dxf>
      <fill>
        <patternFill>
          <bgColor rgb="FFFAD9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666600"/>
      <rgbColor rgb="FF800080"/>
      <rgbColor rgb="FF0E6B43"/>
      <rgbColor rgb="FFCCD3CD"/>
      <rgbColor rgb="FF808080"/>
      <rgbColor rgb="FF9999FF"/>
      <rgbColor rgb="FF993366"/>
      <rgbColor rgb="FFFFF7C2"/>
      <rgbColor rgb="FFD7F0DE"/>
      <rgbColor rgb="FF660066"/>
      <rgbColor rgb="FFFF8080"/>
      <rgbColor rgb="FF0066CC"/>
      <rgbColor rgb="FFFAD9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F"/>
      <rgbColor rgb="FFD6F0DC"/>
      <rgbColor rgb="FFFFE9C2"/>
      <rgbColor rgb="FFEEEEEE"/>
      <rgbColor rgb="FFFFF1D6"/>
      <rgbColor rgb="FFCC99FF"/>
      <rgbColor rgb="FFFCD9D5"/>
      <rgbColor rgb="FF3366FF"/>
      <rgbColor rgb="FF33CCCC"/>
      <rgbColor rgb="FF99CC00"/>
      <rgbColor rgb="FFFFCC00"/>
      <rgbColor rgb="FFFF9900"/>
      <rgbColor rgb="FFFF6600"/>
      <rgbColor rgb="FF5C6B62"/>
      <rgbColor rgb="FF969696"/>
      <rgbColor rgb="FF003366"/>
      <rgbColor rgb="FF339966"/>
      <rgbColor rgb="FF003300"/>
      <rgbColor rgb="FF333300"/>
      <rgbColor rgb="FF8A5A00"/>
      <rgbColor rgb="FF993366"/>
      <rgbColor rgb="FF333399"/>
      <rgbColor rgb="FF1A1F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36" hidden="false" customHeight="true" outlineLevel="0" collapsed="false">
      <c r="B2" s="1" t="s">
        <v>0</v>
      </c>
      <c r="C2" s="2" t="s">
        <v>1</v>
      </c>
    </row>
    <row r="3" customFormat="false" ht="15" hidden="false" customHeight="false" outlineLevel="0" collapsed="false">
      <c r="B3" s="3" t="s">
        <v>2</v>
      </c>
      <c r="C3" s="3"/>
    </row>
    <row r="5" customFormat="false" ht="31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5" t="s">
        <v>6</v>
      </c>
    </row>
    <row r="7" customFormat="false" ht="31.5" hidden="false" customHeight="true" outlineLevel="0" collapsed="false">
      <c r="B7" s="4" t="s">
        <v>7</v>
      </c>
      <c r="C7" s="5" t="s">
        <v>8</v>
      </c>
    </row>
    <row r="8" customFormat="false" ht="31.5" hidden="false" customHeight="true" outlineLevel="0" collapsed="false">
      <c r="B8" s="4" t="s">
        <v>9</v>
      </c>
      <c r="C8" s="5" t="s">
        <v>10</v>
      </c>
    </row>
    <row r="9" customFormat="false" ht="60" hidden="false" customHeight="true" outlineLevel="0" collapsed="false">
      <c r="B9" s="4" t="s">
        <v>11</v>
      </c>
      <c r="C9" s="5" t="s">
        <v>12</v>
      </c>
    </row>
    <row r="10" customFormat="false" ht="31.5" hidden="false" customHeight="true" outlineLevel="0" collapsed="false"/>
    <row r="11" customFormat="false" ht="31.5" hidden="false" customHeight="true" outlineLevel="0" collapsed="false">
      <c r="B11" s="4" t="s">
        <v>13</v>
      </c>
      <c r="C11" s="6" t="s">
        <v>14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18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customFormat="false" ht="30" hidden="false" customHeight="true" outlineLevel="0" collapsed="false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</row>
    <row r="4" customFormat="false" ht="109.5" hidden="false" customHeight="true" outlineLevel="0" collapsed="false">
      <c r="A4" s="9" t="s">
        <v>29</v>
      </c>
      <c r="B4" s="10" t="s">
        <v>30</v>
      </c>
      <c r="C4" s="10" t="s">
        <v>31</v>
      </c>
      <c r="D4" s="11" t="s">
        <v>32</v>
      </c>
      <c r="E4" s="11" t="s">
        <v>33</v>
      </c>
      <c r="F4" s="11" t="s">
        <v>34</v>
      </c>
      <c r="G4" s="11" t="s">
        <v>35</v>
      </c>
      <c r="H4" s="11" t="s">
        <v>36</v>
      </c>
      <c r="I4" s="12" t="s">
        <v>37</v>
      </c>
      <c r="J4" s="11" t="s">
        <v>38</v>
      </c>
      <c r="K4" s="11"/>
      <c r="L4" s="11"/>
      <c r="M4" s="11"/>
    </row>
    <row r="5" customFormat="false" ht="109.5" hidden="false" customHeight="true" outlineLevel="0" collapsed="false">
      <c r="A5" s="13" t="s">
        <v>39</v>
      </c>
      <c r="B5" s="14" t="s">
        <v>30</v>
      </c>
      <c r="C5" s="14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15" t="s">
        <v>36</v>
      </c>
      <c r="I5" s="12" t="s">
        <v>37</v>
      </c>
      <c r="J5" s="15" t="s">
        <v>38</v>
      </c>
      <c r="K5" s="15"/>
      <c r="L5" s="15"/>
      <c r="M5" s="15"/>
    </row>
    <row r="6" customFormat="false" ht="109.5" hidden="false" customHeight="true" outlineLevel="0" collapsed="false">
      <c r="A6" s="9" t="s">
        <v>45</v>
      </c>
      <c r="B6" s="10" t="s">
        <v>30</v>
      </c>
      <c r="C6" s="10" t="s">
        <v>46</v>
      </c>
      <c r="D6" s="11" t="s">
        <v>47</v>
      </c>
      <c r="E6" s="11" t="s">
        <v>48</v>
      </c>
      <c r="F6" s="11" t="s">
        <v>49</v>
      </c>
      <c r="G6" s="11" t="s">
        <v>50</v>
      </c>
      <c r="H6" s="11" t="s">
        <v>51</v>
      </c>
      <c r="I6" s="16" t="s">
        <v>52</v>
      </c>
      <c r="J6" s="11" t="s">
        <v>38</v>
      </c>
      <c r="K6" s="11"/>
      <c r="L6" s="11"/>
      <c r="M6" s="11"/>
    </row>
    <row r="7" customFormat="false" ht="109.5" hidden="false" customHeight="true" outlineLevel="0" collapsed="false">
      <c r="A7" s="13" t="s">
        <v>53</v>
      </c>
      <c r="B7" s="14" t="s">
        <v>30</v>
      </c>
      <c r="C7" s="14" t="s">
        <v>54</v>
      </c>
      <c r="D7" s="15" t="s">
        <v>55</v>
      </c>
      <c r="E7" s="15" t="s">
        <v>56</v>
      </c>
      <c r="F7" s="15" t="s">
        <v>57</v>
      </c>
      <c r="G7" s="15" t="s">
        <v>58</v>
      </c>
      <c r="H7" s="15" t="s">
        <v>59</v>
      </c>
      <c r="I7" s="16" t="s">
        <v>52</v>
      </c>
      <c r="J7" s="15" t="s">
        <v>38</v>
      </c>
      <c r="K7" s="15"/>
      <c r="L7" s="15"/>
      <c r="M7" s="15"/>
    </row>
    <row r="8" customFormat="false" ht="109.5" hidden="false" customHeight="true" outlineLevel="0" collapsed="false">
      <c r="A8" s="9" t="s">
        <v>60</v>
      </c>
      <c r="B8" s="10" t="s">
        <v>30</v>
      </c>
      <c r="C8" s="10" t="s">
        <v>61</v>
      </c>
      <c r="D8" s="11" t="s">
        <v>62</v>
      </c>
      <c r="E8" s="11" t="s">
        <v>63</v>
      </c>
      <c r="F8" s="11" t="s">
        <v>64</v>
      </c>
      <c r="G8" s="11" t="s">
        <v>65</v>
      </c>
      <c r="H8" s="11" t="s">
        <v>66</v>
      </c>
      <c r="I8" s="16" t="s">
        <v>52</v>
      </c>
      <c r="J8" s="11" t="s">
        <v>38</v>
      </c>
      <c r="K8" s="11"/>
      <c r="L8" s="11"/>
      <c r="M8" s="11"/>
    </row>
    <row r="9" customFormat="false" ht="109.5" hidden="false" customHeight="true" outlineLevel="0" collapsed="false">
      <c r="A9" s="13" t="s">
        <v>67</v>
      </c>
      <c r="B9" s="14" t="s">
        <v>68</v>
      </c>
      <c r="C9" s="14" t="s">
        <v>69</v>
      </c>
      <c r="D9" s="15" t="s">
        <v>70</v>
      </c>
      <c r="E9" s="15" t="s">
        <v>42</v>
      </c>
      <c r="F9" s="15" t="s">
        <v>71</v>
      </c>
      <c r="G9" s="15" t="s">
        <v>72</v>
      </c>
      <c r="H9" s="15" t="s">
        <v>36</v>
      </c>
      <c r="I9" s="12" t="s">
        <v>37</v>
      </c>
      <c r="J9" s="15" t="s">
        <v>38</v>
      </c>
      <c r="K9" s="15"/>
      <c r="L9" s="15"/>
      <c r="M9" s="15"/>
    </row>
    <row r="10" customFormat="false" ht="109.5" hidden="false" customHeight="true" outlineLevel="0" collapsed="false">
      <c r="A10" s="9" t="s">
        <v>73</v>
      </c>
      <c r="B10" s="10" t="s">
        <v>68</v>
      </c>
      <c r="C10" s="10" t="s">
        <v>74</v>
      </c>
      <c r="D10" s="11" t="s">
        <v>75</v>
      </c>
      <c r="E10" s="11" t="s">
        <v>42</v>
      </c>
      <c r="F10" s="11" t="s">
        <v>76</v>
      </c>
      <c r="G10" s="11" t="s">
        <v>77</v>
      </c>
      <c r="H10" s="11" t="s">
        <v>36</v>
      </c>
      <c r="I10" s="16" t="s">
        <v>52</v>
      </c>
      <c r="J10" s="11" t="s">
        <v>38</v>
      </c>
      <c r="K10" s="11"/>
      <c r="L10" s="11"/>
      <c r="M10" s="11"/>
    </row>
    <row r="11" customFormat="false" ht="109.5" hidden="false" customHeight="true" outlineLevel="0" collapsed="false">
      <c r="A11" s="13" t="s">
        <v>78</v>
      </c>
      <c r="B11" s="14" t="s">
        <v>68</v>
      </c>
      <c r="C11" s="14" t="s">
        <v>79</v>
      </c>
      <c r="D11" s="15" t="s">
        <v>80</v>
      </c>
      <c r="E11" s="15" t="s">
        <v>81</v>
      </c>
      <c r="F11" s="15" t="s">
        <v>82</v>
      </c>
      <c r="G11" s="15" t="s">
        <v>83</v>
      </c>
      <c r="H11" s="15" t="s">
        <v>36</v>
      </c>
      <c r="I11" s="16" t="s">
        <v>52</v>
      </c>
      <c r="J11" s="15" t="s">
        <v>38</v>
      </c>
      <c r="K11" s="15"/>
      <c r="L11" s="15"/>
      <c r="M11" s="15"/>
    </row>
    <row r="12" customFormat="false" ht="109.5" hidden="false" customHeight="true" outlineLevel="0" collapsed="false">
      <c r="A12" s="9" t="s">
        <v>84</v>
      </c>
      <c r="B12" s="10" t="s">
        <v>68</v>
      </c>
      <c r="C12" s="10" t="s">
        <v>85</v>
      </c>
      <c r="D12" s="11" t="s">
        <v>86</v>
      </c>
      <c r="E12" s="11" t="s">
        <v>87</v>
      </c>
      <c r="F12" s="11" t="s">
        <v>88</v>
      </c>
      <c r="G12" s="11" t="s">
        <v>89</v>
      </c>
      <c r="H12" s="11" t="s">
        <v>36</v>
      </c>
      <c r="I12" s="12" t="s">
        <v>37</v>
      </c>
      <c r="J12" s="11" t="s">
        <v>38</v>
      </c>
      <c r="K12" s="11"/>
      <c r="L12" s="11"/>
      <c r="M12" s="11"/>
    </row>
    <row r="13" customFormat="false" ht="109.5" hidden="false" customHeight="true" outlineLevel="0" collapsed="false">
      <c r="A13" s="13" t="s">
        <v>90</v>
      </c>
      <c r="B13" s="14" t="s">
        <v>68</v>
      </c>
      <c r="C13" s="14" t="s">
        <v>91</v>
      </c>
      <c r="D13" s="15" t="s">
        <v>92</v>
      </c>
      <c r="E13" s="15" t="s">
        <v>93</v>
      </c>
      <c r="F13" s="15" t="s">
        <v>94</v>
      </c>
      <c r="G13" s="15" t="s">
        <v>95</v>
      </c>
      <c r="H13" s="15" t="s">
        <v>96</v>
      </c>
      <c r="I13" s="16" t="s">
        <v>52</v>
      </c>
      <c r="J13" s="15" t="s">
        <v>38</v>
      </c>
      <c r="K13" s="15"/>
      <c r="L13" s="15"/>
      <c r="M13" s="15"/>
    </row>
    <row r="14" customFormat="false" ht="109.5" hidden="false" customHeight="true" outlineLevel="0" collapsed="false">
      <c r="A14" s="9" t="s">
        <v>97</v>
      </c>
      <c r="B14" s="10" t="s">
        <v>98</v>
      </c>
      <c r="C14" s="10" t="s">
        <v>99</v>
      </c>
      <c r="D14" s="11" t="s">
        <v>100</v>
      </c>
      <c r="E14" s="11" t="s">
        <v>101</v>
      </c>
      <c r="F14" s="11" t="s">
        <v>102</v>
      </c>
      <c r="G14" s="11" t="s">
        <v>103</v>
      </c>
      <c r="H14" s="11" t="s">
        <v>104</v>
      </c>
      <c r="I14" s="12" t="s">
        <v>37</v>
      </c>
      <c r="J14" s="11" t="s">
        <v>38</v>
      </c>
      <c r="K14" s="11"/>
      <c r="L14" s="11"/>
      <c r="M14" s="11"/>
    </row>
    <row r="15" customFormat="false" ht="109.5" hidden="false" customHeight="true" outlineLevel="0" collapsed="false">
      <c r="A15" s="13" t="s">
        <v>105</v>
      </c>
      <c r="B15" s="14" t="s">
        <v>98</v>
      </c>
      <c r="C15" s="14" t="s">
        <v>106</v>
      </c>
      <c r="D15" s="15" t="s">
        <v>107</v>
      </c>
      <c r="E15" s="15" t="s">
        <v>108</v>
      </c>
      <c r="F15" s="15" t="s">
        <v>109</v>
      </c>
      <c r="G15" s="15" t="s">
        <v>110</v>
      </c>
      <c r="H15" s="15" t="s">
        <v>104</v>
      </c>
      <c r="I15" s="16" t="s">
        <v>52</v>
      </c>
      <c r="J15" s="15" t="s">
        <v>38</v>
      </c>
      <c r="K15" s="15"/>
      <c r="L15" s="15"/>
      <c r="M15" s="15"/>
    </row>
    <row r="16" customFormat="false" ht="109.5" hidden="false" customHeight="true" outlineLevel="0" collapsed="false">
      <c r="A16" s="9" t="s">
        <v>111</v>
      </c>
      <c r="B16" s="10" t="s">
        <v>98</v>
      </c>
      <c r="C16" s="10" t="s">
        <v>112</v>
      </c>
      <c r="D16" s="11" t="s">
        <v>113</v>
      </c>
      <c r="E16" s="11" t="s">
        <v>114</v>
      </c>
      <c r="F16" s="11" t="s">
        <v>115</v>
      </c>
      <c r="G16" s="11" t="s">
        <v>116</v>
      </c>
      <c r="H16" s="11" t="s">
        <v>104</v>
      </c>
      <c r="I16" s="16" t="s">
        <v>52</v>
      </c>
      <c r="J16" s="11" t="s">
        <v>38</v>
      </c>
      <c r="K16" s="11"/>
      <c r="L16" s="11"/>
      <c r="M16" s="11"/>
    </row>
    <row r="17" customFormat="false" ht="109.5" hidden="false" customHeight="true" outlineLevel="0" collapsed="false">
      <c r="A17" s="13" t="s">
        <v>117</v>
      </c>
      <c r="B17" s="14" t="s">
        <v>98</v>
      </c>
      <c r="C17" s="14" t="s">
        <v>118</v>
      </c>
      <c r="D17" s="15" t="s">
        <v>119</v>
      </c>
      <c r="E17" s="15" t="s">
        <v>108</v>
      </c>
      <c r="F17" s="15" t="s">
        <v>120</v>
      </c>
      <c r="G17" s="15" t="s">
        <v>121</v>
      </c>
      <c r="H17" s="15" t="s">
        <v>104</v>
      </c>
      <c r="I17" s="12" t="s">
        <v>37</v>
      </c>
      <c r="J17" s="15" t="s">
        <v>38</v>
      </c>
      <c r="K17" s="15"/>
      <c r="L17" s="15"/>
      <c r="M17" s="15"/>
    </row>
    <row r="18" customFormat="false" ht="109.5" hidden="false" customHeight="true" outlineLevel="0" collapsed="false">
      <c r="A18" s="9" t="s">
        <v>122</v>
      </c>
      <c r="B18" s="10" t="s">
        <v>98</v>
      </c>
      <c r="C18" s="10" t="s">
        <v>123</v>
      </c>
      <c r="D18" s="11" t="s">
        <v>124</v>
      </c>
      <c r="E18" s="11" t="s">
        <v>108</v>
      </c>
      <c r="F18" s="11" t="s">
        <v>125</v>
      </c>
      <c r="G18" s="11" t="s">
        <v>126</v>
      </c>
      <c r="H18" s="11" t="s">
        <v>104</v>
      </c>
      <c r="I18" s="16" t="s">
        <v>52</v>
      </c>
      <c r="J18" s="11" t="s">
        <v>38</v>
      </c>
      <c r="K18" s="11"/>
      <c r="L18" s="11"/>
      <c r="M18" s="11"/>
    </row>
    <row r="19" customFormat="false" ht="109.5" hidden="false" customHeight="true" outlineLevel="0" collapsed="false">
      <c r="A19" s="13" t="s">
        <v>127</v>
      </c>
      <c r="B19" s="14" t="s">
        <v>98</v>
      </c>
      <c r="C19" s="14" t="s">
        <v>128</v>
      </c>
      <c r="D19" s="15" t="s">
        <v>129</v>
      </c>
      <c r="E19" s="15" t="s">
        <v>81</v>
      </c>
      <c r="F19" s="15" t="s">
        <v>130</v>
      </c>
      <c r="G19" s="15" t="s">
        <v>131</v>
      </c>
      <c r="H19" s="15" t="s">
        <v>104</v>
      </c>
      <c r="I19" s="17" t="s">
        <v>132</v>
      </c>
      <c r="J19" s="15" t="s">
        <v>38</v>
      </c>
      <c r="K19" s="15"/>
      <c r="L19" s="15"/>
      <c r="M19" s="15"/>
    </row>
    <row r="20" customFormat="false" ht="109.5" hidden="false" customHeight="true" outlineLevel="0" collapsed="false">
      <c r="A20" s="9" t="s">
        <v>133</v>
      </c>
      <c r="B20" s="10" t="s">
        <v>134</v>
      </c>
      <c r="C20" s="10" t="s">
        <v>135</v>
      </c>
      <c r="D20" s="11" t="s">
        <v>136</v>
      </c>
      <c r="E20" s="11" t="s">
        <v>81</v>
      </c>
      <c r="F20" s="11" t="s">
        <v>137</v>
      </c>
      <c r="G20" s="11" t="s">
        <v>138</v>
      </c>
      <c r="H20" s="11" t="s">
        <v>139</v>
      </c>
      <c r="I20" s="16" t="s">
        <v>52</v>
      </c>
      <c r="J20" s="11" t="s">
        <v>38</v>
      </c>
      <c r="K20" s="11"/>
      <c r="L20" s="11"/>
      <c r="M20" s="11"/>
    </row>
    <row r="21" customFormat="false" ht="109.5" hidden="false" customHeight="true" outlineLevel="0" collapsed="false">
      <c r="A21" s="13" t="s">
        <v>140</v>
      </c>
      <c r="B21" s="14" t="s">
        <v>134</v>
      </c>
      <c r="C21" s="14" t="s">
        <v>141</v>
      </c>
      <c r="D21" s="15" t="s">
        <v>142</v>
      </c>
      <c r="E21" s="15" t="s">
        <v>143</v>
      </c>
      <c r="F21" s="15" t="s">
        <v>144</v>
      </c>
      <c r="G21" s="15" t="s">
        <v>145</v>
      </c>
      <c r="H21" s="15" t="s">
        <v>104</v>
      </c>
      <c r="I21" s="17" t="s">
        <v>132</v>
      </c>
      <c r="J21" s="15" t="s">
        <v>38</v>
      </c>
      <c r="K21" s="15"/>
      <c r="L21" s="15"/>
      <c r="M21" s="15"/>
    </row>
    <row r="22" customFormat="false" ht="109.5" hidden="false" customHeight="true" outlineLevel="0" collapsed="false">
      <c r="A22" s="9" t="s">
        <v>146</v>
      </c>
      <c r="B22" s="10" t="s">
        <v>147</v>
      </c>
      <c r="C22" s="10" t="s">
        <v>148</v>
      </c>
      <c r="D22" s="11" t="s">
        <v>149</v>
      </c>
      <c r="E22" s="11" t="s">
        <v>150</v>
      </c>
      <c r="F22" s="11" t="s">
        <v>151</v>
      </c>
      <c r="G22" s="11" t="s">
        <v>152</v>
      </c>
      <c r="H22" s="11" t="s">
        <v>104</v>
      </c>
      <c r="I22" s="16" t="s">
        <v>52</v>
      </c>
      <c r="J22" s="11" t="s">
        <v>38</v>
      </c>
      <c r="K22" s="11"/>
      <c r="L22" s="11"/>
      <c r="M22" s="11"/>
    </row>
    <row r="23" customFormat="false" ht="109.5" hidden="false" customHeight="true" outlineLevel="0" collapsed="false">
      <c r="A23" s="13" t="s">
        <v>153</v>
      </c>
      <c r="B23" s="14" t="s">
        <v>147</v>
      </c>
      <c r="C23" s="14" t="s">
        <v>154</v>
      </c>
      <c r="D23" s="15" t="s">
        <v>155</v>
      </c>
      <c r="E23" s="15" t="s">
        <v>81</v>
      </c>
      <c r="F23" s="15" t="s">
        <v>156</v>
      </c>
      <c r="G23" s="15" t="s">
        <v>157</v>
      </c>
      <c r="H23" s="15" t="s">
        <v>104</v>
      </c>
      <c r="I23" s="12" t="s">
        <v>37</v>
      </c>
      <c r="J23" s="15" t="s">
        <v>38</v>
      </c>
      <c r="K23" s="15"/>
      <c r="L23" s="15"/>
      <c r="M23" s="15"/>
    </row>
    <row r="24" customFormat="false" ht="109.5" hidden="false" customHeight="true" outlineLevel="0" collapsed="false">
      <c r="A24" s="9" t="s">
        <v>158</v>
      </c>
      <c r="B24" s="10" t="s">
        <v>159</v>
      </c>
      <c r="C24" s="10" t="s">
        <v>160</v>
      </c>
      <c r="D24" s="11" t="s">
        <v>161</v>
      </c>
      <c r="E24" s="11" t="s">
        <v>162</v>
      </c>
      <c r="F24" s="11" t="s">
        <v>163</v>
      </c>
      <c r="G24" s="11" t="s">
        <v>164</v>
      </c>
      <c r="H24" s="11" t="s">
        <v>59</v>
      </c>
      <c r="I24" s="16" t="s">
        <v>52</v>
      </c>
      <c r="J24" s="11" t="s">
        <v>38</v>
      </c>
      <c r="K24" s="11"/>
      <c r="L24" s="11"/>
      <c r="M24" s="11"/>
    </row>
    <row r="25" customFormat="false" ht="109.5" hidden="false" customHeight="true" outlineLevel="0" collapsed="false">
      <c r="A25" s="13" t="s">
        <v>165</v>
      </c>
      <c r="B25" s="14" t="s">
        <v>159</v>
      </c>
      <c r="C25" s="14" t="s">
        <v>166</v>
      </c>
      <c r="D25" s="15" t="s">
        <v>167</v>
      </c>
      <c r="E25" s="15" t="s">
        <v>168</v>
      </c>
      <c r="F25" s="15" t="s">
        <v>169</v>
      </c>
      <c r="G25" s="15" t="s">
        <v>170</v>
      </c>
      <c r="H25" s="15" t="s">
        <v>59</v>
      </c>
      <c r="I25" s="17" t="s">
        <v>132</v>
      </c>
      <c r="J25" s="15" t="s">
        <v>38</v>
      </c>
      <c r="K25" s="15"/>
      <c r="L25" s="15"/>
      <c r="M25" s="15"/>
    </row>
    <row r="26" customFormat="false" ht="109.5" hidden="false" customHeight="true" outlineLevel="0" collapsed="false">
      <c r="A26" s="9" t="s">
        <v>171</v>
      </c>
      <c r="B26" s="10" t="s">
        <v>172</v>
      </c>
      <c r="C26" s="10" t="s">
        <v>173</v>
      </c>
      <c r="D26" s="11" t="s">
        <v>174</v>
      </c>
      <c r="E26" s="11" t="s">
        <v>175</v>
      </c>
      <c r="F26" s="11" t="s">
        <v>176</v>
      </c>
      <c r="G26" s="11" t="s">
        <v>177</v>
      </c>
      <c r="H26" s="11" t="s">
        <v>51</v>
      </c>
      <c r="I26" s="12" t="s">
        <v>37</v>
      </c>
      <c r="J26" s="11" t="s">
        <v>38</v>
      </c>
      <c r="K26" s="11"/>
      <c r="L26" s="11"/>
      <c r="M26" s="11"/>
    </row>
    <row r="27" customFormat="false" ht="109.5" hidden="false" customHeight="true" outlineLevel="0" collapsed="false">
      <c r="A27" s="13" t="s">
        <v>178</v>
      </c>
      <c r="B27" s="14" t="s">
        <v>172</v>
      </c>
      <c r="C27" s="14" t="s">
        <v>179</v>
      </c>
      <c r="D27" s="15" t="s">
        <v>180</v>
      </c>
      <c r="E27" s="15" t="s">
        <v>181</v>
      </c>
      <c r="F27" s="15" t="s">
        <v>182</v>
      </c>
      <c r="G27" s="15" t="s">
        <v>183</v>
      </c>
      <c r="H27" s="15" t="s">
        <v>51</v>
      </c>
      <c r="I27" s="17" t="s">
        <v>132</v>
      </c>
      <c r="J27" s="15" t="s">
        <v>38</v>
      </c>
      <c r="K27" s="15"/>
      <c r="L27" s="15"/>
      <c r="M27" s="15"/>
    </row>
    <row r="28" customFormat="false" ht="109.5" hidden="false" customHeight="true" outlineLevel="0" collapsed="false">
      <c r="A28" s="9" t="s">
        <v>184</v>
      </c>
      <c r="B28" s="10" t="s">
        <v>185</v>
      </c>
      <c r="C28" s="10" t="s">
        <v>186</v>
      </c>
      <c r="D28" s="11" t="s">
        <v>187</v>
      </c>
      <c r="E28" s="11" t="s">
        <v>188</v>
      </c>
      <c r="F28" s="11" t="s">
        <v>189</v>
      </c>
      <c r="G28" s="11" t="s">
        <v>190</v>
      </c>
      <c r="H28" s="11" t="s">
        <v>66</v>
      </c>
      <c r="I28" s="16" t="s">
        <v>52</v>
      </c>
      <c r="J28" s="11" t="s">
        <v>38</v>
      </c>
      <c r="K28" s="11"/>
      <c r="L28" s="11"/>
      <c r="M28" s="11"/>
    </row>
    <row r="29" customFormat="false" ht="109.5" hidden="false" customHeight="true" outlineLevel="0" collapsed="false">
      <c r="A29" s="13" t="s">
        <v>191</v>
      </c>
      <c r="B29" s="14" t="s">
        <v>192</v>
      </c>
      <c r="C29" s="14" t="s">
        <v>193</v>
      </c>
      <c r="D29" s="15" t="s">
        <v>194</v>
      </c>
      <c r="E29" s="15" t="s">
        <v>195</v>
      </c>
      <c r="F29" s="15" t="s">
        <v>196</v>
      </c>
      <c r="G29" s="15" t="s">
        <v>197</v>
      </c>
      <c r="H29" s="15" t="s">
        <v>66</v>
      </c>
      <c r="I29" s="12" t="s">
        <v>37</v>
      </c>
      <c r="J29" s="15" t="s">
        <v>38</v>
      </c>
      <c r="K29" s="15"/>
      <c r="L29" s="15"/>
      <c r="M29" s="15"/>
    </row>
    <row r="30" customFormat="false" ht="109.5" hidden="false" customHeight="true" outlineLevel="0" collapsed="false">
      <c r="A30" s="9" t="s">
        <v>198</v>
      </c>
      <c r="B30" s="10" t="s">
        <v>192</v>
      </c>
      <c r="C30" s="10" t="s">
        <v>199</v>
      </c>
      <c r="D30" s="11" t="s">
        <v>200</v>
      </c>
      <c r="E30" s="11" t="s">
        <v>201</v>
      </c>
      <c r="F30" s="11" t="s">
        <v>202</v>
      </c>
      <c r="G30" s="11" t="s">
        <v>203</v>
      </c>
      <c r="H30" s="11" t="s">
        <v>66</v>
      </c>
      <c r="I30" s="17" t="s">
        <v>132</v>
      </c>
      <c r="J30" s="11" t="s">
        <v>38</v>
      </c>
      <c r="K30" s="11"/>
      <c r="L30" s="11"/>
      <c r="M30" s="11"/>
    </row>
    <row r="31" customFormat="false" ht="109.5" hidden="false" customHeight="true" outlineLevel="0" collapsed="false">
      <c r="A31" s="13" t="s">
        <v>204</v>
      </c>
      <c r="B31" s="14" t="s">
        <v>205</v>
      </c>
      <c r="C31" s="14" t="s">
        <v>206</v>
      </c>
      <c r="D31" s="15" t="s">
        <v>207</v>
      </c>
      <c r="E31" s="15" t="s">
        <v>208</v>
      </c>
      <c r="F31" s="15" t="s">
        <v>209</v>
      </c>
      <c r="G31" s="15" t="s">
        <v>210</v>
      </c>
      <c r="H31" s="15" t="s">
        <v>104</v>
      </c>
      <c r="I31" s="16" t="s">
        <v>52</v>
      </c>
      <c r="J31" s="15" t="s">
        <v>38</v>
      </c>
      <c r="K31" s="15"/>
      <c r="L31" s="15"/>
      <c r="M31" s="15"/>
    </row>
    <row r="32" customFormat="false" ht="109.5" hidden="false" customHeight="true" outlineLevel="0" collapsed="false">
      <c r="A32" s="9" t="s">
        <v>211</v>
      </c>
      <c r="B32" s="10" t="s">
        <v>205</v>
      </c>
      <c r="C32" s="10" t="s">
        <v>212</v>
      </c>
      <c r="D32" s="11" t="s">
        <v>213</v>
      </c>
      <c r="E32" s="11" t="s">
        <v>214</v>
      </c>
      <c r="F32" s="11" t="s">
        <v>215</v>
      </c>
      <c r="G32" s="11" t="s">
        <v>216</v>
      </c>
      <c r="H32" s="11" t="s">
        <v>104</v>
      </c>
      <c r="I32" s="16" t="s">
        <v>52</v>
      </c>
      <c r="J32" s="11" t="s">
        <v>38</v>
      </c>
      <c r="K32" s="11"/>
      <c r="L32" s="11"/>
      <c r="M32" s="11"/>
    </row>
    <row r="33" customFormat="false" ht="109.5" hidden="false" customHeight="true" outlineLevel="0" collapsed="false">
      <c r="A33" s="13" t="s">
        <v>217</v>
      </c>
      <c r="B33" s="14" t="s">
        <v>218</v>
      </c>
      <c r="C33" s="14" t="s">
        <v>219</v>
      </c>
      <c r="D33" s="15" t="s">
        <v>220</v>
      </c>
      <c r="E33" s="15" t="s">
        <v>221</v>
      </c>
      <c r="F33" s="15" t="s">
        <v>222</v>
      </c>
      <c r="G33" s="15" t="s">
        <v>223</v>
      </c>
      <c r="H33" s="15" t="s">
        <v>104</v>
      </c>
      <c r="I33" s="17" t="s">
        <v>132</v>
      </c>
      <c r="J33" s="15" t="s">
        <v>38</v>
      </c>
      <c r="K33" s="15"/>
      <c r="L33" s="15"/>
      <c r="M33" s="15"/>
    </row>
    <row r="34" customFormat="false" ht="109.5" hidden="false" customHeight="true" outlineLevel="0" collapsed="false">
      <c r="A34" s="9" t="s">
        <v>224</v>
      </c>
      <c r="B34" s="10" t="s">
        <v>218</v>
      </c>
      <c r="C34" s="10" t="s">
        <v>225</v>
      </c>
      <c r="D34" s="11" t="s">
        <v>226</v>
      </c>
      <c r="E34" s="11" t="s">
        <v>227</v>
      </c>
      <c r="F34" s="11" t="s">
        <v>228</v>
      </c>
      <c r="G34" s="11" t="s">
        <v>229</v>
      </c>
      <c r="H34" s="11" t="s">
        <v>104</v>
      </c>
      <c r="I34" s="12" t="s">
        <v>37</v>
      </c>
      <c r="J34" s="11" t="s">
        <v>38</v>
      </c>
      <c r="K34" s="11"/>
      <c r="L34" s="11"/>
      <c r="M34" s="11"/>
    </row>
    <row r="35" customFormat="false" ht="109.5" hidden="false" customHeight="true" outlineLevel="0" collapsed="false">
      <c r="A35" s="13" t="s">
        <v>230</v>
      </c>
      <c r="B35" s="14" t="s">
        <v>218</v>
      </c>
      <c r="C35" s="14" t="s">
        <v>231</v>
      </c>
      <c r="D35" s="15" t="s">
        <v>232</v>
      </c>
      <c r="E35" s="15" t="s">
        <v>233</v>
      </c>
      <c r="F35" s="15" t="s">
        <v>234</v>
      </c>
      <c r="G35" s="15" t="s">
        <v>235</v>
      </c>
      <c r="H35" s="15" t="s">
        <v>104</v>
      </c>
      <c r="I35" s="12" t="s">
        <v>37</v>
      </c>
      <c r="J35" s="15" t="s">
        <v>38</v>
      </c>
      <c r="K35" s="15"/>
      <c r="L35" s="15"/>
      <c r="M35" s="15"/>
    </row>
    <row r="36" customFormat="false" ht="109.5" hidden="false" customHeight="true" outlineLevel="0" collapsed="false">
      <c r="A36" s="9" t="s">
        <v>236</v>
      </c>
      <c r="B36" s="10" t="s">
        <v>237</v>
      </c>
      <c r="C36" s="10" t="s">
        <v>238</v>
      </c>
      <c r="D36" s="11" t="s">
        <v>239</v>
      </c>
      <c r="E36" s="11" t="s">
        <v>240</v>
      </c>
      <c r="F36" s="11" t="s">
        <v>241</v>
      </c>
      <c r="G36" s="11" t="s">
        <v>242</v>
      </c>
      <c r="H36" s="11" t="s">
        <v>104</v>
      </c>
      <c r="I36" s="12" t="s">
        <v>37</v>
      </c>
      <c r="J36" s="11" t="s">
        <v>38</v>
      </c>
      <c r="K36" s="11"/>
      <c r="L36" s="11"/>
      <c r="M36" s="11"/>
    </row>
    <row r="37" customFormat="false" ht="109.5" hidden="false" customHeight="true" outlineLevel="0" collapsed="false">
      <c r="A37" s="13" t="s">
        <v>243</v>
      </c>
      <c r="B37" s="14" t="s">
        <v>237</v>
      </c>
      <c r="C37" s="14" t="s">
        <v>244</v>
      </c>
      <c r="D37" s="15" t="s">
        <v>245</v>
      </c>
      <c r="E37" s="15" t="s">
        <v>246</v>
      </c>
      <c r="F37" s="15" t="s">
        <v>247</v>
      </c>
      <c r="G37" s="15" t="s">
        <v>248</v>
      </c>
      <c r="H37" s="15" t="s">
        <v>104</v>
      </c>
      <c r="I37" s="12" t="s">
        <v>37</v>
      </c>
      <c r="J37" s="15" t="s">
        <v>38</v>
      </c>
      <c r="K37" s="15"/>
      <c r="L37" s="15"/>
      <c r="M37" s="15"/>
    </row>
    <row r="38" customFormat="false" ht="109.5" hidden="false" customHeight="true" outlineLevel="0" collapsed="false">
      <c r="A38" s="9" t="s">
        <v>249</v>
      </c>
      <c r="B38" s="10" t="s">
        <v>237</v>
      </c>
      <c r="C38" s="10" t="s">
        <v>250</v>
      </c>
      <c r="D38" s="11" t="s">
        <v>251</v>
      </c>
      <c r="E38" s="11" t="s">
        <v>252</v>
      </c>
      <c r="F38" s="11" t="s">
        <v>253</v>
      </c>
      <c r="G38" s="11" t="s">
        <v>254</v>
      </c>
      <c r="H38" s="11" t="s">
        <v>104</v>
      </c>
      <c r="I38" s="12" t="s">
        <v>37</v>
      </c>
      <c r="J38" s="11" t="s">
        <v>38</v>
      </c>
      <c r="K38" s="11"/>
      <c r="L38" s="11"/>
      <c r="M38" s="11"/>
    </row>
  </sheetData>
  <mergeCells count="1">
    <mergeCell ref="A1:M1"/>
  </mergeCells>
  <conditionalFormatting sqref="J4:J38">
    <cfRule type="expression" priority="2" aboveAverage="0" equalAverage="0" bottom="0" percent="0" rank="0" text="" dxfId="0">
      <formula>ISNUMBER(SEARCH("Pass",J4))</formula>
    </cfRule>
    <cfRule type="expression" priority="3" aboveAverage="0" equalAverage="0" bottom="0" percent="0" rank="0" text="" dxfId="1">
      <formula>ISNUMBER(SEARCH("Partial",J4))</formula>
    </cfRule>
    <cfRule type="expression" priority="4" aboveAverage="0" equalAverage="0" bottom="0" percent="0" rank="0" text="" dxfId="2">
      <formula>ISNUMBER(SEARCH("Fail",J4))</formula>
    </cfRule>
    <cfRule type="expression" priority="5" aboveAverage="0" equalAverage="0" bottom="0" percent="0" rank="0" text="" dxfId="3">
      <formula>ISNUMBER(SEARCH("Not Built",J4))</formula>
    </cfRule>
  </conditionalFormatting>
  <dataValidations count="1">
    <dataValidation allowBlank="true" error="Please pick: Pass, Partial, Fail, Not Built, or —" errorStyle="stop" errorTitle="Invalid Status" operator="between" prompt="Pass · Partial · Fail · Not Built · —" promptTitle="Status" showDropDown="false" showErrorMessage="false" showInputMessage="false" sqref="J4:J38" type="list">
      <formula1>"— ,✓ Pass,⚠ Partial,✗ Fail,○ Not Built"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7" min="6" style="0" width="18"/>
  </cols>
  <sheetData>
    <row r="2" customFormat="false" ht="31.5" hidden="false" customHeight="true" outlineLevel="0" collapsed="false">
      <c r="B2" s="18" t="s">
        <v>255</v>
      </c>
      <c r="C2" s="18"/>
      <c r="D2" s="18"/>
      <c r="E2" s="18"/>
      <c r="F2" s="18"/>
      <c r="G2" s="18"/>
    </row>
    <row r="3" customFormat="false" ht="15" hidden="false" customHeight="false" outlineLevel="0" collapsed="false">
      <c r="B3" s="19" t="s">
        <v>256</v>
      </c>
      <c r="C3" s="19"/>
      <c r="D3" s="19"/>
      <c r="E3" s="19"/>
      <c r="F3" s="19"/>
      <c r="G3" s="19"/>
    </row>
    <row r="5" customFormat="false" ht="21.75" hidden="false" customHeight="true" outlineLevel="0" collapsed="false">
      <c r="B5" s="20" t="s">
        <v>257</v>
      </c>
    </row>
    <row r="6" customFormat="false" ht="21.75" hidden="false" customHeight="true" outlineLevel="0" collapsed="false">
      <c r="B6" s="21" t="s">
        <v>258</v>
      </c>
      <c r="C6" s="22" t="n">
        <f aca="false">COUNTIF('Test Plan'!J4:J38,"*Pass*")</f>
        <v>0</v>
      </c>
    </row>
    <row r="7" customFormat="false" ht="21.75" hidden="false" customHeight="true" outlineLevel="0" collapsed="false">
      <c r="B7" s="23" t="s">
        <v>259</v>
      </c>
      <c r="C7" s="24" t="n">
        <f aca="false">COUNTIF('Test Plan'!J4:J38,"*Partial*")</f>
        <v>0</v>
      </c>
    </row>
    <row r="8" customFormat="false" ht="21.75" hidden="false" customHeight="true" outlineLevel="0" collapsed="false">
      <c r="B8" s="25" t="s">
        <v>260</v>
      </c>
      <c r="C8" s="26" t="n">
        <f aca="false">COUNTIF('Test Plan'!J4:J38,"*Fail*")</f>
        <v>0</v>
      </c>
    </row>
    <row r="9" customFormat="false" ht="21.75" hidden="false" customHeight="true" outlineLevel="0" collapsed="false">
      <c r="B9" s="27" t="s">
        <v>261</v>
      </c>
      <c r="C9" s="28" t="n">
        <f aca="false">COUNTIF('Test Plan'!J4:J38,"*Not Built*")</f>
        <v>0</v>
      </c>
    </row>
    <row r="10" customFormat="false" ht="21.75" hidden="false" customHeight="true" outlineLevel="0" collapsed="false">
      <c r="B10" s="29" t="s">
        <v>262</v>
      </c>
      <c r="C10" s="30" t="n">
        <f aca="false">COUNTIF('Test Plan'!J4:J38,"*—*")</f>
        <v>35</v>
      </c>
    </row>
    <row r="11" customFormat="false" ht="21.75" hidden="false" customHeight="true" outlineLevel="0" collapsed="false">
      <c r="B11" s="31" t="s">
        <v>263</v>
      </c>
      <c r="C11" s="32" t="n">
        <f aca="false">COUNTA('Test Plan'!A4:A38)</f>
        <v>35</v>
      </c>
    </row>
    <row r="13" customFormat="false" ht="17.35" hidden="false" customHeight="false" outlineLevel="0" collapsed="false">
      <c r="B13" s="33" t="s">
        <v>264</v>
      </c>
      <c r="C13" s="34" t="n">
        <f aca="false">IFERROR(C6/C11,0)</f>
        <v>0</v>
      </c>
    </row>
    <row r="16" customFormat="false" ht="21.75" hidden="false" customHeight="true" outlineLevel="0" collapsed="false">
      <c r="B16" s="35" t="s">
        <v>265</v>
      </c>
      <c r="C16" s="35"/>
    </row>
    <row r="17" customFormat="false" ht="15" hidden="false" customHeight="false" outlineLevel="0" collapsed="false">
      <c r="B17" s="36" t="s">
        <v>24</v>
      </c>
      <c r="C17" s="37" t="s">
        <v>266</v>
      </c>
      <c r="D17" s="38"/>
      <c r="E17" s="37" t="s">
        <v>267</v>
      </c>
      <c r="F17" s="37" t="s">
        <v>268</v>
      </c>
    </row>
    <row r="18" customFormat="false" ht="21.75" hidden="false" customHeight="true" outlineLevel="0" collapsed="false">
      <c r="B18" s="39" t="s">
        <v>37</v>
      </c>
      <c r="C18" s="37" t="n">
        <f aca="false">COUNTIF('Test Plan'!I4:I38,"CRITICAL")</f>
        <v>14</v>
      </c>
      <c r="E18" s="40" t="n">
        <f aca="false">COUNTIFS('Test Plan'!I4:I38,"CRITICAL",'Test Plan'!J4:J38,"*Pass*")</f>
        <v>0</v>
      </c>
      <c r="F18" s="41" t="n">
        <f aca="false">COUNTIF('Test Plan'!I4:I38,"CRITICAL")-COUNTIFS('Test Plan'!I4:I38,"CRITICAL",'Test Plan'!J4:J38,"*Pass*")</f>
        <v>14</v>
      </c>
    </row>
    <row r="19" customFormat="false" ht="21.75" hidden="false" customHeight="true" outlineLevel="0" collapsed="false">
      <c r="B19" s="42" t="s">
        <v>52</v>
      </c>
      <c r="C19" s="37" t="n">
        <f aca="false">COUNTIF('Test Plan'!I4:I38,"HIGH")</f>
        <v>15</v>
      </c>
      <c r="E19" s="40" t="n">
        <f aca="false">COUNTIFS('Test Plan'!I4:I38,"HIGH",'Test Plan'!J4:J38,"*Pass*")</f>
        <v>0</v>
      </c>
      <c r="F19" s="41" t="n">
        <f aca="false">COUNTIF('Test Plan'!I4:I38,"HIGH")-COUNTIFS('Test Plan'!I4:I38,"HIGH",'Test Plan'!J4:J38,"*Pass*")</f>
        <v>15</v>
      </c>
    </row>
    <row r="20" customFormat="false" ht="21.75" hidden="false" customHeight="true" outlineLevel="0" collapsed="false">
      <c r="B20" s="43" t="s">
        <v>132</v>
      </c>
      <c r="C20" s="37" t="n">
        <f aca="false">COUNTIF('Test Plan'!I4:I38,"MEDIUM")</f>
        <v>6</v>
      </c>
      <c r="E20" s="40" t="n">
        <f aca="false">COUNTIFS('Test Plan'!I4:I38,"MEDIUM",'Test Plan'!J4:J38,"*Pass*")</f>
        <v>0</v>
      </c>
      <c r="F20" s="41" t="n">
        <f aca="false">COUNTIF('Test Plan'!I4:I38,"MEDIUM")-COUNTIFS('Test Plan'!I4:I38,"MEDIUM",'Test Plan'!J4:J38,"*Pass*")</f>
        <v>6</v>
      </c>
    </row>
    <row r="22" customFormat="false" ht="27.75" hidden="false" customHeight="true" outlineLevel="0" collapsed="false">
      <c r="B22" s="35" t="s">
        <v>269</v>
      </c>
      <c r="C22" s="35"/>
      <c r="D22" s="35"/>
      <c r="E22" s="35"/>
      <c r="F22" s="35"/>
    </row>
    <row r="23" customFormat="false" ht="36" hidden="false" customHeight="true" outlineLevel="0" collapsed="false">
      <c r="B23" s="44" t="str">
        <f aca="false">IF(COUNTIFS('Test Plan'!I4:I38,"CRITICAL",'Test Plan'!J4:J38,"*Pass*")=COUNTIF('Test Plan'!I4:I38,"CRITICAL"),IF(COUNTIFS('Test Plan'!I4:I38,"HIGH",'Test Plan'!J4:J38,"*Pass*")=COUNTIF('Test Plan'!I4:I38,"HIGH"),"✓ READY — All Critical + High tests pass","⚠ CONDITIONAL — All Critical pass; some High gaps remain"),"✗ NOT READY — Critical-severity gaps must be closed before LEED submittal")</f>
        <v>✗ NOT READY — Critical-severity gaps must be closed before LEED submittal</v>
      </c>
      <c r="C23" s="44"/>
      <c r="D23" s="44"/>
      <c r="E23" s="44"/>
      <c r="F23" s="44"/>
    </row>
  </sheetData>
  <mergeCells count="5">
    <mergeCell ref="B2:G2"/>
    <mergeCell ref="B3:G3"/>
    <mergeCell ref="B16:C16"/>
    <mergeCell ref="B22:F22"/>
    <mergeCell ref="B23:F23"/>
  </mergeCells>
  <conditionalFormatting sqref="B23">
    <cfRule type="expression" priority="2" aboveAverage="0" equalAverage="0" bottom="0" percent="0" rank="0" text="" dxfId="4">
      <formula>ISNUMBER(SEARCH("READY",B23))</formula>
    </cfRule>
    <cfRule type="expression" priority="3" aboveAverage="0" equalAverage="0" bottom="0" percent="0" rank="0" text="" dxfId="5">
      <formula>ISNUMBER(SEARCH("CONDITIONAL",B23))</formula>
    </cfRule>
    <cfRule type="expression" priority="4" aboveAverage="0" equalAverage="0" bottom="0" percent="0" rank="0" text="" dxfId="6">
      <formula>ISNUMBER(SEARCH("NOT READY",B23))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8" min="8" style="0" width="14"/>
  </cols>
  <sheetData>
    <row r="2" customFormat="false" ht="27.75" hidden="false" customHeight="true" outlineLevel="0" collapsed="false">
      <c r="B2" s="45" t="s">
        <v>270</v>
      </c>
      <c r="C2" s="45"/>
      <c r="D2" s="45"/>
      <c r="E2" s="45"/>
      <c r="F2" s="45"/>
      <c r="G2" s="45"/>
      <c r="H2" s="45"/>
    </row>
    <row r="4" customFormat="false" ht="24" hidden="false" customHeight="true" outlineLevel="0" collapsed="false">
      <c r="B4" s="8" t="s">
        <v>17</v>
      </c>
      <c r="C4" s="8" t="s">
        <v>266</v>
      </c>
      <c r="D4" s="8" t="s">
        <v>267</v>
      </c>
      <c r="E4" s="8" t="s">
        <v>271</v>
      </c>
      <c r="F4" s="8" t="s">
        <v>272</v>
      </c>
      <c r="G4" s="8" t="s">
        <v>273</v>
      </c>
      <c r="H4" s="8" t="s">
        <v>274</v>
      </c>
    </row>
    <row r="5" customFormat="false" ht="21.75" hidden="false" customHeight="true" outlineLevel="0" collapsed="false">
      <c r="B5" s="46" t="s">
        <v>30</v>
      </c>
      <c r="C5" s="47" t="n">
        <f aca="false">COUNTIF('Test Plan'!B4:B38,"Material Streams")</f>
        <v>5</v>
      </c>
      <c r="D5" s="47" t="n">
        <f aca="false">COUNTIFS('Test Plan'!B4:B38,"Material Streams",'Test Plan'!J4:J38,"*Pass*")</f>
        <v>0</v>
      </c>
      <c r="E5" s="47" t="n">
        <f aca="false">COUNTIFS('Test Plan'!B4:B38,"Material Streams",'Test Plan'!J4:J38,"*Partial*")</f>
        <v>0</v>
      </c>
      <c r="F5" s="47" t="n">
        <f aca="false">COUNTIFS('Test Plan'!B4:B38,"Material Streams",'Test Plan'!J4:J38,"*Fail*")</f>
        <v>0</v>
      </c>
      <c r="G5" s="47" t="n">
        <f aca="false">COUNTIFS('Test Plan'!B4:B38,"Material Streams",'Test Plan'!J4:J38,"*Not Built*")</f>
        <v>0</v>
      </c>
      <c r="H5" s="48" t="n">
        <f aca="false">IFERROR(D5/C5,0)</f>
        <v>0</v>
      </c>
    </row>
    <row r="6" customFormat="false" ht="21.75" hidden="false" customHeight="true" outlineLevel="0" collapsed="false">
      <c r="B6" s="46" t="s">
        <v>68</v>
      </c>
      <c r="C6" s="47" t="n">
        <f aca="false">COUNTIF('Test Plan'!B4:B38,"Commingled Recycling")</f>
        <v>5</v>
      </c>
      <c r="D6" s="47" t="n">
        <f aca="false">COUNTIFS('Test Plan'!B4:B38,"Commingled Recycling",'Test Plan'!J4:J38,"*Pass*")</f>
        <v>0</v>
      </c>
      <c r="E6" s="47" t="n">
        <f aca="false">COUNTIFS('Test Plan'!B4:B38,"Commingled Recycling",'Test Plan'!J4:J38,"*Partial*")</f>
        <v>0</v>
      </c>
      <c r="F6" s="47" t="n">
        <f aca="false">COUNTIFS('Test Plan'!B4:B38,"Commingled Recycling",'Test Plan'!J4:J38,"*Fail*")</f>
        <v>0</v>
      </c>
      <c r="G6" s="47" t="n">
        <f aca="false">COUNTIFS('Test Plan'!B4:B38,"Commingled Recycling",'Test Plan'!J4:J38,"*Not Built*")</f>
        <v>0</v>
      </c>
      <c r="H6" s="48" t="n">
        <f aca="false">IFERROR(D6/C6,0)</f>
        <v>0</v>
      </c>
    </row>
    <row r="7" customFormat="false" ht="21.75" hidden="false" customHeight="true" outlineLevel="0" collapsed="false">
      <c r="B7" s="46" t="s">
        <v>98</v>
      </c>
      <c r="C7" s="47" t="n">
        <f aca="false">COUNTIF('Test Plan'!B4:B38,"Material Exclusions")</f>
        <v>6</v>
      </c>
      <c r="D7" s="47" t="n">
        <f aca="false">COUNTIFS('Test Plan'!B4:B38,"Material Exclusions",'Test Plan'!J4:J38,"*Pass*")</f>
        <v>0</v>
      </c>
      <c r="E7" s="47" t="n">
        <f aca="false">COUNTIFS('Test Plan'!B4:B38,"Material Exclusions",'Test Plan'!J4:J38,"*Partial*")</f>
        <v>0</v>
      </c>
      <c r="F7" s="47" t="n">
        <f aca="false">COUNTIFS('Test Plan'!B4:B38,"Material Exclusions",'Test Plan'!J4:J38,"*Fail*")</f>
        <v>0</v>
      </c>
      <c r="G7" s="47" t="n">
        <f aca="false">COUNTIFS('Test Plan'!B4:B38,"Material Exclusions",'Test Plan'!J4:J38,"*Not Built*")</f>
        <v>0</v>
      </c>
      <c r="H7" s="48" t="n">
        <f aca="false">IFERROR(D7/C7,0)</f>
        <v>0</v>
      </c>
    </row>
    <row r="8" customFormat="false" ht="21.75" hidden="false" customHeight="true" outlineLevel="0" collapsed="false">
      <c r="B8" s="46" t="s">
        <v>134</v>
      </c>
      <c r="C8" s="47" t="n">
        <f aca="false">COUNTIF('Test Plan'!B4:B38,"Phase Tracking")</f>
        <v>2</v>
      </c>
      <c r="D8" s="47" t="n">
        <f aca="false">COUNTIFS('Test Plan'!B4:B38,"Phase Tracking",'Test Plan'!J4:J38,"*Pass*")</f>
        <v>0</v>
      </c>
      <c r="E8" s="47" t="n">
        <f aca="false">COUNTIFS('Test Plan'!B4:B38,"Phase Tracking",'Test Plan'!J4:J38,"*Partial*")</f>
        <v>0</v>
      </c>
      <c r="F8" s="47" t="n">
        <f aca="false">COUNTIFS('Test Plan'!B4:B38,"Phase Tracking",'Test Plan'!J4:J38,"*Fail*")</f>
        <v>0</v>
      </c>
      <c r="G8" s="47" t="n">
        <f aca="false">COUNTIFS('Test Plan'!B4:B38,"Phase Tracking",'Test Plan'!J4:J38,"*Not Built*")</f>
        <v>0</v>
      </c>
      <c r="H8" s="48" t="n">
        <f aca="false">IFERROR(D8/C8,0)</f>
        <v>0</v>
      </c>
    </row>
    <row r="9" customFormat="false" ht="21.75" hidden="false" customHeight="true" outlineLevel="0" collapsed="false">
      <c r="B9" s="46" t="s">
        <v>147</v>
      </c>
      <c r="C9" s="47" t="n">
        <f aca="false">COUNTIF('Test Plan'!B4:B38,"Units (weight or volume)")</f>
        <v>2</v>
      </c>
      <c r="D9" s="47" t="n">
        <f aca="false">COUNTIFS('Test Plan'!B4:B38,"Units (weight or volume)",'Test Plan'!J4:J38,"*Pass*")</f>
        <v>0</v>
      </c>
      <c r="E9" s="47" t="n">
        <f aca="false">COUNTIFS('Test Plan'!B4:B38,"Units (weight or volume)",'Test Plan'!J4:J38,"*Partial*")</f>
        <v>0</v>
      </c>
      <c r="F9" s="47" t="n">
        <f aca="false">COUNTIFS('Test Plan'!B4:B38,"Units (weight or volume)",'Test Plan'!J4:J38,"*Fail*")</f>
        <v>0</v>
      </c>
      <c r="G9" s="47" t="n">
        <f aca="false">COUNTIFS('Test Plan'!B4:B38,"Units (weight or volume)",'Test Plan'!J4:J38,"*Not Built*")</f>
        <v>0</v>
      </c>
      <c r="H9" s="48" t="n">
        <f aca="false">IFERROR(D9/C9,0)</f>
        <v>0</v>
      </c>
    </row>
    <row r="10" customFormat="false" ht="21.75" hidden="false" customHeight="true" outlineLevel="0" collapsed="false">
      <c r="B10" s="46" t="s">
        <v>159</v>
      </c>
      <c r="C10" s="47" t="n">
        <f aca="false">COUNTIF('Test Plan'!B4:B38,"Thresholds")</f>
        <v>2</v>
      </c>
      <c r="D10" s="47" t="n">
        <f aca="false">COUNTIFS('Test Plan'!B4:B38,"Thresholds",'Test Plan'!J4:J38,"*Pass*")</f>
        <v>0</v>
      </c>
      <c r="E10" s="47" t="n">
        <f aca="false">COUNTIFS('Test Plan'!B4:B38,"Thresholds",'Test Plan'!J4:J38,"*Partial*")</f>
        <v>0</v>
      </c>
      <c r="F10" s="47" t="n">
        <f aca="false">COUNTIFS('Test Plan'!B4:B38,"Thresholds",'Test Plan'!J4:J38,"*Fail*")</f>
        <v>0</v>
      </c>
      <c r="G10" s="47" t="n">
        <f aca="false">COUNTIFS('Test Plan'!B4:B38,"Thresholds",'Test Plan'!J4:J38,"*Not Built*")</f>
        <v>0</v>
      </c>
      <c r="H10" s="48" t="n">
        <f aca="false">IFERROR(D10/C10,0)</f>
        <v>0</v>
      </c>
    </row>
    <row r="11" customFormat="false" ht="21.75" hidden="false" customHeight="true" outlineLevel="0" collapsed="false">
      <c r="B11" s="46" t="s">
        <v>172</v>
      </c>
      <c r="C11" s="47" t="n">
        <f aca="false">COUNTIF('Test Plan'!B4:B38,"WMP (v4 MRp2)")</f>
        <v>2</v>
      </c>
      <c r="D11" s="47" t="n">
        <f aca="false">COUNTIFS('Test Plan'!B4:B38,"WMP (v4 MRp2)",'Test Plan'!J4:J38,"*Pass*")</f>
        <v>0</v>
      </c>
      <c r="E11" s="47" t="n">
        <f aca="false">COUNTIFS('Test Plan'!B4:B38,"WMP (v4 MRp2)",'Test Plan'!J4:J38,"*Partial*")</f>
        <v>0</v>
      </c>
      <c r="F11" s="47" t="n">
        <f aca="false">COUNTIFS('Test Plan'!B4:B38,"WMP (v4 MRp2)",'Test Plan'!J4:J38,"*Fail*")</f>
        <v>0</v>
      </c>
      <c r="G11" s="47" t="n">
        <f aca="false">COUNTIFS('Test Plan'!B4:B38,"WMP (v4 MRp2)",'Test Plan'!J4:J38,"*Not Built*")</f>
        <v>0</v>
      </c>
      <c r="H11" s="48" t="n">
        <f aca="false">IFERROR(D11/C11,0)</f>
        <v>0</v>
      </c>
    </row>
    <row r="12" customFormat="false" ht="21.75" hidden="false" customHeight="true" outlineLevel="0" collapsed="false">
      <c r="B12" s="46" t="s">
        <v>185</v>
      </c>
      <c r="C12" s="47" t="n">
        <f aca="false">COUNTIF('Test Plan'!B4:B38,"WMP (v5 MRp1)")</f>
        <v>1</v>
      </c>
      <c r="D12" s="47" t="n">
        <f aca="false">COUNTIFS('Test Plan'!B4:B38,"WMP (v5 MRp1)",'Test Plan'!J4:J38,"*Pass*")</f>
        <v>0</v>
      </c>
      <c r="E12" s="47" t="n">
        <f aca="false">COUNTIFS('Test Plan'!B4:B38,"WMP (v5 MRp1)",'Test Plan'!J4:J38,"*Partial*")</f>
        <v>0</v>
      </c>
      <c r="F12" s="47" t="n">
        <f aca="false">COUNTIFS('Test Plan'!B4:B38,"WMP (v5 MRp1)",'Test Plan'!J4:J38,"*Fail*")</f>
        <v>0</v>
      </c>
      <c r="G12" s="47" t="n">
        <f aca="false">COUNTIFS('Test Plan'!B4:B38,"WMP (v5 MRp1)",'Test Plan'!J4:J38,"*Not Built*")</f>
        <v>0</v>
      </c>
      <c r="H12" s="48" t="n">
        <f aca="false">IFERROR(D12/C12,0)</f>
        <v>0</v>
      </c>
    </row>
    <row r="13" customFormat="false" ht="21.75" hidden="false" customHeight="true" outlineLevel="0" collapsed="false">
      <c r="B13" s="46" t="s">
        <v>192</v>
      </c>
      <c r="C13" s="47" t="n">
        <f aca="false">COUNTIF('Test Plan'!B4:B38,"Embodied Carbon (v5 MRp2)")</f>
        <v>2</v>
      </c>
      <c r="D13" s="47" t="n">
        <f aca="false">COUNTIFS('Test Plan'!B4:B38,"Embodied Carbon (v5 MRp2)",'Test Plan'!J4:J38,"*Pass*")</f>
        <v>0</v>
      </c>
      <c r="E13" s="47" t="n">
        <f aca="false">COUNTIFS('Test Plan'!B4:B38,"Embodied Carbon (v5 MRp2)",'Test Plan'!J4:J38,"*Partial*")</f>
        <v>0</v>
      </c>
      <c r="F13" s="47" t="n">
        <f aca="false">COUNTIFS('Test Plan'!B4:B38,"Embodied Carbon (v5 MRp2)",'Test Plan'!J4:J38,"*Fail*")</f>
        <v>0</v>
      </c>
      <c r="G13" s="47" t="n">
        <f aca="false">COUNTIFS('Test Plan'!B4:B38,"Embodied Carbon (v5 MRp2)",'Test Plan'!J4:J38,"*Not Built*")</f>
        <v>0</v>
      </c>
      <c r="H13" s="48" t="n">
        <f aca="false">IFERROR(D13/C13,0)</f>
        <v>0</v>
      </c>
    </row>
    <row r="14" customFormat="false" ht="21.75" hidden="false" customHeight="true" outlineLevel="0" collapsed="false">
      <c r="B14" s="46" t="s">
        <v>205</v>
      </c>
      <c r="C14" s="47" t="n">
        <f aca="false">COUNTIF('Test Plan'!B4:B38,"Facility Records")</f>
        <v>2</v>
      </c>
      <c r="D14" s="47" t="n">
        <f aca="false">COUNTIFS('Test Plan'!B4:B38,"Facility Records",'Test Plan'!J4:J38,"*Pass*")</f>
        <v>0</v>
      </c>
      <c r="E14" s="47" t="n">
        <f aca="false">COUNTIFS('Test Plan'!B4:B38,"Facility Records",'Test Plan'!J4:J38,"*Partial*")</f>
        <v>0</v>
      </c>
      <c r="F14" s="47" t="n">
        <f aca="false">COUNTIFS('Test Plan'!B4:B38,"Facility Records",'Test Plan'!J4:J38,"*Fail*")</f>
        <v>0</v>
      </c>
      <c r="G14" s="47" t="n">
        <f aca="false">COUNTIFS('Test Plan'!B4:B38,"Facility Records",'Test Plan'!J4:J38,"*Not Built*")</f>
        <v>0</v>
      </c>
      <c r="H14" s="48" t="n">
        <f aca="false">IFERROR(D14/C14,0)</f>
        <v>0</v>
      </c>
    </row>
    <row r="15" customFormat="false" ht="21.75" hidden="false" customHeight="true" outlineLevel="0" collapsed="false">
      <c r="B15" s="46" t="s">
        <v>218</v>
      </c>
      <c r="C15" s="47" t="n">
        <f aca="false">COUNTIF('Test Plan'!B4:B38,"Reporting")</f>
        <v>3</v>
      </c>
      <c r="D15" s="47" t="n">
        <f aca="false">COUNTIFS('Test Plan'!B4:B38,"Reporting",'Test Plan'!J4:J38,"*Pass*")</f>
        <v>0</v>
      </c>
      <c r="E15" s="47" t="n">
        <f aca="false">COUNTIFS('Test Plan'!B4:B38,"Reporting",'Test Plan'!J4:J38,"*Partial*")</f>
        <v>0</v>
      </c>
      <c r="F15" s="47" t="n">
        <f aca="false">COUNTIFS('Test Plan'!B4:B38,"Reporting",'Test Plan'!J4:J38,"*Fail*")</f>
        <v>0</v>
      </c>
      <c r="G15" s="47" t="n">
        <f aca="false">COUNTIFS('Test Plan'!B4:B38,"Reporting",'Test Plan'!J4:J38,"*Not Built*")</f>
        <v>0</v>
      </c>
      <c r="H15" s="48" t="n">
        <f aca="false">IFERROR(D15/C15,0)</f>
        <v>0</v>
      </c>
    </row>
    <row r="16" customFormat="false" ht="21.75" hidden="false" customHeight="true" outlineLevel="0" collapsed="false">
      <c r="B16" s="46" t="s">
        <v>237</v>
      </c>
      <c r="C16" s="47" t="n">
        <f aca="false">COUNTIF('Test Plan'!B4:B38,"Audit Trail")</f>
        <v>3</v>
      </c>
      <c r="D16" s="47" t="n">
        <f aca="false">COUNTIFS('Test Plan'!B4:B38,"Audit Trail",'Test Plan'!J4:J38,"*Pass*")</f>
        <v>0</v>
      </c>
      <c r="E16" s="47" t="n">
        <f aca="false">COUNTIFS('Test Plan'!B4:B38,"Audit Trail",'Test Plan'!J4:J38,"*Partial*")</f>
        <v>0</v>
      </c>
      <c r="F16" s="47" t="n">
        <f aca="false">COUNTIFS('Test Plan'!B4:B38,"Audit Trail",'Test Plan'!J4:J38,"*Fail*")</f>
        <v>0</v>
      </c>
      <c r="G16" s="47" t="n">
        <f aca="false">COUNTIFS('Test Plan'!B4:B38,"Audit Trail",'Test Plan'!J4:J38,"*Not Built*")</f>
        <v>0</v>
      </c>
      <c r="H16" s="48" t="n">
        <f aca="false">IFERROR(D16/C16,0)</f>
        <v>0</v>
      </c>
    </row>
  </sheetData>
  <mergeCells count="1">
    <mergeCell ref="B2:H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2026-05-23T02:52:30Z</dcterms:created>
  <dc:creator>openpyxl</dc:creator>
  <dc:description/>
  <dc:language>en-US</dc:language>
  <cp:lastModifiedBy/>
  <dcterms:modified xsi:type="dcterms:W3CDTF">2026-05-23T02:52:30Z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